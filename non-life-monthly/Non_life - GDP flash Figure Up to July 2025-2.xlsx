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JULY\"/>
    </mc:Choice>
  </mc:AlternateContent>
  <bookViews>
    <workbookView xWindow="0" yWindow="0" windowWidth="28800" windowHeight="1161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9" i="2" l="1"/>
  <c r="F46" i="2" l="1"/>
  <c r="D46" i="2"/>
  <c r="E46" i="2"/>
  <c r="C46" i="2"/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2" i="2"/>
  <c r="H93" i="2"/>
  <c r="H96" i="2"/>
  <c r="H97" i="2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2" i="2"/>
  <c r="H43" i="2"/>
  <c r="H44" i="2"/>
  <c r="H45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2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D99" i="2" l="1"/>
  <c r="F99" i="2"/>
  <c r="E99" i="2"/>
  <c r="G69" i="2" s="1"/>
  <c r="C99" i="2"/>
  <c r="H98" i="2"/>
  <c r="H95" i="2"/>
  <c r="H86" i="2"/>
  <c r="G87" i="2" l="1"/>
  <c r="G94" i="2"/>
  <c r="G93" i="2"/>
  <c r="G82" i="2"/>
  <c r="G62" i="2"/>
  <c r="G61" i="2"/>
  <c r="G70" i="2"/>
  <c r="G73" i="2"/>
  <c r="G72" i="2"/>
  <c r="G68" i="2"/>
  <c r="G77" i="2"/>
  <c r="G67" i="2"/>
  <c r="G76" i="2"/>
  <c r="G66" i="2"/>
  <c r="G85" i="2"/>
  <c r="G86" i="2"/>
  <c r="G75" i="2"/>
  <c r="G65" i="2"/>
  <c r="G98" i="2"/>
  <c r="G84" i="2"/>
  <c r="G89" i="2"/>
  <c r="G74" i="2"/>
  <c r="G88" i="2"/>
  <c r="G64" i="2"/>
  <c r="G92" i="2"/>
  <c r="G83" i="2"/>
  <c r="G63" i="2"/>
  <c r="G81" i="2"/>
  <c r="G79" i="2"/>
  <c r="G71" i="2"/>
  <c r="G97" i="2"/>
  <c r="G95" i="2"/>
  <c r="G80" i="2"/>
  <c r="G96" i="2"/>
  <c r="G91" i="2"/>
  <c r="G90" i="2"/>
  <c r="G78" i="2"/>
  <c r="G49" i="2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<sst xmlns="http://schemas.openxmlformats.org/spreadsheetml/2006/main" count="122" uniqueCount="106">
  <si>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</si>
  <si>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</si>
  <si>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</si>
  <si>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</si>
  <si>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</si>
  <si>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</si>
  <si>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</si>
  <si>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</si>
  <si>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</si>
  <si>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</si>
  <si>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</si>
  <si>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</si>
  <si>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</si>
  <si>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</si>
  <si>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</si>
  <si>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</si>
  <si>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</si>
  <si>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</si>
  <si>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</si>
  <si>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</si>
  <si>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</si>
  <si>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</si>
  <si>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</si>
  <si>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</si>
  <si>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</si>
  <si>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</si>
  <si>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</si>
  <si>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</si>
  <si>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</si>
  <si>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</si>
  <si>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</si>
  <si>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</si>
  <si>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</si>
  <si>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</si>
  <si>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</si>
  <si>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</si>
  <si>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</si>
  <si>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</si>
  <si>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</si>
  <si>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</si>
  <si>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</si>
  <si>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</si>
  <si>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</si>
  <si>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</si>
  <si>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</si>
  <si>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</si>
  <si>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</si>
  <si>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</si>
  <si>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</si>
  <si>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</si>
  <si>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</si>
  <si>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</si>
  <si>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</si>
  <si>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</si>
  <si>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</si>
  <si>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</si>
  <si>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</si>
  <si>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</si>
  <si>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</si>
  <si>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</si>
  <si>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</si>
  <si>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</si>
  <si>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</si>
  <si>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</si>
  <si>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</si>
  <si>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</si>
  <si>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</si>
  <si>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</si>
  <si>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</si>
  <si>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</si>
  <si>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</si>
  <si>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</si>
  <si>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</si>
  <si>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</si>
  <si>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</si>
  <si>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</si>
  <si>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</si>
  <si>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</si>
  <si>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</si>
  <si>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</si>
  <si>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</si>
  <si>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</si>
  <si>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</si>
  <si>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</si>
  <si>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</si>
  <si>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</si>
  <si>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</si>
  <si>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</si>
  <si>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</si>
  <si>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</si>
  <si>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</si>
  <si>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</si>
  <si>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</si>
  <si>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</si>
  <si>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</si>
  <si>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</si>
  <si>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GROSS DIRECT PREMIUM UNDERWRITTEN FOR AND UPTO THE MONTH  OF JULY, 2025</t>
  </si>
  <si>
    <t>For the Month of JULY</t>
  </si>
  <si>
    <t>Upto the Month of JULY</t>
  </si>
  <si>
    <t>Market Share upto the Month of JULY, 2025 (%)</t>
  </si>
  <si>
    <t>जुलाई , 2025 माह और तक के लिए सकल प्रत्यक्ष प्रीमियम अधिग्रहण</t>
  </si>
  <si>
    <t>जुलाई  माह के लिए</t>
  </si>
  <si>
    <t>जुलाई  माह तक</t>
  </si>
  <si>
    <t>जुलाई , 2025 माह तक बाजार शेयर  (%)</t>
  </si>
  <si>
    <t>Generali Central Insurance Company Limited</t>
  </si>
  <si>
    <t>जनरली सेंट्रल इंश्योरेंस कंपनी लिमिटेड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</si>
</sst>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7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10" fontId="26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23" fillId="0" borderId="3" xfId="0" applyNumberFormat="1" applyFont="1" applyBorder="1" applyAlignment="1">
      <alignment horizontal="center"/>
    </xf>
    <xf numFmtId="43" fontId="6" fillId="0" borderId="0" xfId="3" applyNumberFormat="1" applyFont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15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topLeftCell="A43" zoomScale="98" zoomScaleNormal="98" zoomScaleSheetLayoutView="98" workbookViewId="0">
      <selection activeCell="E59" sqref="E59:F59"/>
    </sheetView>
  </sheetViews>
  <sheetFormatPr defaultRowHeight="12.75"/>
  <cols>
    <col min="1" max="1" width="12.85546875" style="7" customWidth="1"/>
    <col min="2" max="2" width="93.42578125" style="13" customWidth="1"/>
    <col min="3" max="4" width="21.7109375" style="12" bestFit="1" customWidth="1"/>
    <col min="5" max="6" width="25.140625" style="12" bestFit="1" customWidth="1"/>
    <col min="7" max="7" width="28" style="1" customWidth="1"/>
    <col min="8" max="8" width="27.710937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67" t="s">
        <v>29</v>
      </c>
      <c r="B2" s="67"/>
      <c r="C2" s="67"/>
      <c r="D2" s="67"/>
      <c r="E2" s="67"/>
      <c r="F2" s="67"/>
      <c r="G2" s="67"/>
      <c r="H2" s="67"/>
    </row>
    <row r="3" spans="1:8" s="2" customFormat="1" ht="36" customHeight="1">
      <c r="A3" s="68" t="s">
        <v>30</v>
      </c>
      <c r="B3" s="68"/>
      <c r="C3" s="68"/>
      <c r="D3" s="68"/>
      <c r="E3" s="68"/>
      <c r="F3" s="68"/>
      <c r="G3" s="68"/>
      <c r="H3" s="68"/>
    </row>
    <row r="4" spans="1:8" s="2" customFormat="1" ht="36" customHeight="1">
      <c r="A4" s="69" t="s">
        <v>100</v>
      </c>
      <c r="B4" s="69"/>
      <c r="C4" s="69"/>
      <c r="D4" s="69"/>
      <c r="E4" s="69"/>
      <c r="F4" s="69"/>
      <c r="G4" s="69"/>
      <c r="H4" s="69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0" t="s">
        <v>31</v>
      </c>
      <c r="D6" s="70"/>
      <c r="E6" s="70"/>
      <c r="F6" s="70"/>
      <c r="G6" s="71" t="s">
        <v>103</v>
      </c>
      <c r="H6" s="71" t="s">
        <v>32</v>
      </c>
    </row>
    <row r="7" spans="1:8" s="4" customFormat="1" ht="11.25" customHeight="1">
      <c r="B7" s="20"/>
      <c r="C7" s="74" t="s">
        <v>33</v>
      </c>
      <c r="D7" s="74"/>
      <c r="E7" s="74"/>
      <c r="F7" s="74"/>
      <c r="G7" s="72"/>
      <c r="H7" s="72"/>
    </row>
    <row r="8" spans="1:8" s="22" customFormat="1" ht="32.25" customHeight="1">
      <c r="A8" s="38"/>
      <c r="B8" s="21"/>
      <c r="C8" s="75" t="s">
        <v>101</v>
      </c>
      <c r="D8" s="75"/>
      <c r="E8" s="75" t="s">
        <v>102</v>
      </c>
      <c r="F8" s="75"/>
      <c r="G8" s="72"/>
      <c r="H8" s="72"/>
    </row>
    <row r="9" spans="1:8" s="23" customFormat="1" ht="9" customHeight="1">
      <c r="A9" s="38"/>
      <c r="B9" s="21"/>
      <c r="C9" s="74" t="s">
        <v>34</v>
      </c>
      <c r="D9" s="74"/>
      <c r="E9" s="74" t="s">
        <v>33</v>
      </c>
      <c r="F9" s="74"/>
      <c r="G9" s="72"/>
      <c r="H9" s="72"/>
    </row>
    <row r="10" spans="1:8" s="24" customFormat="1" ht="47.25" customHeight="1">
      <c r="A10" s="41" t="s">
        <v>35</v>
      </c>
      <c r="B10" s="41" t="s">
        <v>36</v>
      </c>
      <c r="C10" s="64" t="s">
        <v>95</v>
      </c>
      <c r="D10" s="64" t="s">
        <v>0</v>
      </c>
      <c r="E10" s="64" t="s">
        <v>95</v>
      </c>
      <c r="F10" s="64" t="s">
        <v>0</v>
      </c>
      <c r="G10" s="73"/>
      <c r="H10" s="73"/>
    </row>
    <row r="11" spans="1:8" s="3" customFormat="1" ht="13.5" customHeight="1">
      <c r="A11" s="25" t="s">
        <v>33</v>
      </c>
      <c r="B11" s="25" t="s">
        <v>34</v>
      </c>
      <c r="C11" s="26" t="s">
        <v>34</v>
      </c>
      <c r="D11" s="26" t="s">
        <v>33</v>
      </c>
      <c r="E11" s="26" t="s">
        <v>33</v>
      </c>
      <c r="F11" s="26" t="s">
        <v>33</v>
      </c>
      <c r="G11" s="27" t="s">
        <v>33</v>
      </c>
      <c r="H11" s="27" t="s">
        <v>33</v>
      </c>
    </row>
    <row r="12" spans="1:8" s="4" customFormat="1" ht="25.5">
      <c r="A12" s="50">
        <v>1</v>
      </c>
      <c r="B12" s="54" t="s">
        <v>37</v>
      </c>
      <c r="C12" s="62">
        <v>195.880313</v>
      </c>
      <c r="D12" s="62">
        <v>177.15230750000001</v>
      </c>
      <c r="E12" s="62">
        <v>722.85107519999997</v>
      </c>
      <c r="F12" s="62">
        <v>681.98202189999995</v>
      </c>
      <c r="G12" s="55">
        <f t="shared" ref="G12:G36" si="0">E12/$E$50</f>
        <v>6.6345989327396254E-3</v>
      </c>
      <c r="H12" s="55">
        <f>((E12-F12)/F12)</f>
        <v>5.9926877817305144E-2</v>
      </c>
    </row>
    <row r="13" spans="1:8" s="4" customFormat="1" ht="25.5">
      <c r="A13" s="50">
        <v>2</v>
      </c>
      <c r="B13" s="54" t="s">
        <v>38</v>
      </c>
      <c r="C13" s="62">
        <v>2101.8190930000001</v>
      </c>
      <c r="D13" s="62">
        <v>2415.5308889000003</v>
      </c>
      <c r="E13" s="62">
        <v>7272.3619802000003</v>
      </c>
      <c r="F13" s="62">
        <v>7131.7532785000003</v>
      </c>
      <c r="G13" s="55">
        <f t="shared" si="0"/>
        <v>6.6748472386212412E-2</v>
      </c>
      <c r="H13" s="55">
        <f t="shared" ref="H13:H46" si="1">((E13-F13)/F13)</f>
        <v>1.971586736236251E-2</v>
      </c>
    </row>
    <row r="14" spans="1:8" s="4" customFormat="1" ht="25.5">
      <c r="A14" s="50">
        <v>3</v>
      </c>
      <c r="B14" s="54" t="s">
        <v>39</v>
      </c>
      <c r="C14" s="62">
        <v>616.94568553987392</v>
      </c>
      <c r="D14" s="62">
        <v>693.69784249763336</v>
      </c>
      <c r="E14" s="62">
        <v>2429.0944047330686</v>
      </c>
      <c r="F14" s="62">
        <v>2614.2551933590003</v>
      </c>
      <c r="G14" s="55">
        <f t="shared" si="0"/>
        <v>2.229514169389149E-2</v>
      </c>
      <c r="H14" s="55">
        <f t="shared" si="1"/>
        <v>-7.0827358054522047E-2</v>
      </c>
    </row>
    <row r="15" spans="1:8" s="4" customFormat="1" ht="25.5">
      <c r="A15" s="50">
        <v>4</v>
      </c>
      <c r="B15" s="54" t="s">
        <v>105</v>
      </c>
      <c r="C15" s="62">
        <v>510.57692455568662</v>
      </c>
      <c r="D15" s="62">
        <v>585.16465088995801</v>
      </c>
      <c r="E15" s="62">
        <v>1740.9356161613134</v>
      </c>
      <c r="F15" s="62">
        <v>2043.4266159440322</v>
      </c>
      <c r="G15" s="55">
        <f t="shared" si="0"/>
        <v>1.597896161080823E-2</v>
      </c>
      <c r="H15" s="55">
        <f t="shared" si="1"/>
        <v>-0.14803125173299775</v>
      </c>
    </row>
    <row r="16" spans="1:8" s="4" customFormat="1" ht="25.5">
      <c r="A16" s="50">
        <v>5</v>
      </c>
      <c r="B16" s="54" t="s">
        <v>40</v>
      </c>
      <c r="C16" s="62">
        <v>880.57</v>
      </c>
      <c r="D16" s="62">
        <v>694.98</v>
      </c>
      <c r="E16" s="62">
        <v>3387.8991387000001</v>
      </c>
      <c r="F16" s="62">
        <v>3032.467805233</v>
      </c>
      <c r="G16" s="55">
        <f t="shared" si="0"/>
        <v>3.1095412016409377E-2</v>
      </c>
      <c r="H16" s="55">
        <f t="shared" si="1"/>
        <v>0.11720860905881586</v>
      </c>
    </row>
    <row r="17" spans="1:8" s="4" customFormat="1" ht="25.5">
      <c r="A17" s="50">
        <v>6</v>
      </c>
      <c r="B17" s="54" t="s">
        <v>41</v>
      </c>
      <c r="C17" s="62">
        <v>1216.2064180170159</v>
      </c>
      <c r="D17" s="62">
        <v>1651.588959986</v>
      </c>
      <c r="E17" s="62">
        <v>4636.8606291432534</v>
      </c>
      <c r="F17" s="62">
        <v>5403.317292918</v>
      </c>
      <c r="G17" s="55">
        <f t="shared" si="0"/>
        <v>4.2558850137788685E-2</v>
      </c>
      <c r="H17" s="55">
        <f t="shared" si="1"/>
        <v>-0.14184927928983981</v>
      </c>
    </row>
    <row r="18" spans="1:8" s="4" customFormat="1" ht="25.5">
      <c r="A18" s="50">
        <v>7</v>
      </c>
      <c r="B18" s="54" t="s">
        <v>42</v>
      </c>
      <c r="C18" s="62">
        <v>2482.96</v>
      </c>
      <c r="D18" s="62">
        <v>2765.42</v>
      </c>
      <c r="E18" s="62">
        <v>10217.796367197992</v>
      </c>
      <c r="F18" s="62">
        <v>10453.050000000001</v>
      </c>
      <c r="G18" s="55">
        <f t="shared" si="0"/>
        <v>9.3782776561556716E-2</v>
      </c>
      <c r="H18" s="55">
        <f t="shared" si="1"/>
        <v>-2.2505740697883268E-2</v>
      </c>
    </row>
    <row r="19" spans="1:8" s="4" customFormat="1" ht="25.5">
      <c r="A19" s="50">
        <v>8</v>
      </c>
      <c r="B19" s="54" t="s">
        <v>43</v>
      </c>
      <c r="C19" s="62">
        <v>831.94452322699999</v>
      </c>
      <c r="D19" s="62">
        <v>753.51478314600001</v>
      </c>
      <c r="E19" s="62">
        <v>2865.515920418</v>
      </c>
      <c r="F19" s="62">
        <v>2601.8853536879997</v>
      </c>
      <c r="G19" s="55">
        <f t="shared" si="0"/>
        <v>2.6300782442764594E-2</v>
      </c>
      <c r="H19" s="55">
        <f t="shared" si="1"/>
        <v>0.10132289893415998</v>
      </c>
    </row>
    <row r="20" spans="1:8" s="4" customFormat="1" ht="25.5">
      <c r="A20" s="50">
        <v>9</v>
      </c>
      <c r="B20" s="54" t="s">
        <v>44</v>
      </c>
      <c r="C20" s="62">
        <v>7.7438533104935248</v>
      </c>
      <c r="D20" s="62">
        <v>10.248538707</v>
      </c>
      <c r="E20" s="62">
        <v>288.78944587553087</v>
      </c>
      <c r="F20" s="62">
        <v>306.44556464400006</v>
      </c>
      <c r="G20" s="55">
        <f t="shared" si="0"/>
        <v>2.6506181081105006E-3</v>
      </c>
      <c r="H20" s="55">
        <f t="shared" si="1"/>
        <v>-5.7615840480446899E-2</v>
      </c>
    </row>
    <row r="21" spans="1:8" s="4" customFormat="1" ht="25.5">
      <c r="A21" s="50">
        <v>10</v>
      </c>
      <c r="B21" s="54" t="s">
        <v>45</v>
      </c>
      <c r="C21" s="62">
        <v>247.59655939043108</v>
      </c>
      <c r="D21" s="62">
        <v>203.10324808499504</v>
      </c>
      <c r="E21" s="62">
        <v>868.0016799393311</v>
      </c>
      <c r="F21" s="62">
        <v>755.7743851829814</v>
      </c>
      <c r="G21" s="55">
        <f t="shared" si="0"/>
        <v>7.9668457541524993E-3</v>
      </c>
      <c r="H21" s="55">
        <f t="shared" si="1"/>
        <v>0.14849311773007259</v>
      </c>
    </row>
    <row r="22" spans="1:8" s="4" customFormat="1" ht="25.5">
      <c r="A22" s="50">
        <v>11</v>
      </c>
      <c r="B22" s="54" t="s">
        <v>94</v>
      </c>
      <c r="C22" s="62">
        <v>296.59225210617177</v>
      </c>
      <c r="D22" s="62">
        <v>268.236412368</v>
      </c>
      <c r="E22" s="62">
        <v>1192.7558108923411</v>
      </c>
      <c r="F22" s="62">
        <v>1101.400915556</v>
      </c>
      <c r="G22" s="55">
        <f t="shared" si="0"/>
        <v>1.0947561263259933E-2</v>
      </c>
      <c r="H22" s="55">
        <f t="shared" si="1"/>
        <v>8.2944270379713705E-2</v>
      </c>
    </row>
    <row r="23" spans="1:8" s="4" customFormat="1" ht="25.5">
      <c r="A23" s="50">
        <v>12</v>
      </c>
      <c r="B23" s="54" t="s">
        <v>46</v>
      </c>
      <c r="C23" s="62">
        <v>1356.88</v>
      </c>
      <c r="D23" s="62">
        <v>1656.97</v>
      </c>
      <c r="E23" s="62">
        <v>5326.14</v>
      </c>
      <c r="F23" s="62">
        <v>5135.83</v>
      </c>
      <c r="G23" s="55">
        <f t="shared" si="0"/>
        <v>4.8885315346379986E-2</v>
      </c>
      <c r="H23" s="55">
        <f t="shared" si="1"/>
        <v>3.7055354246538615E-2</v>
      </c>
    </row>
    <row r="24" spans="1:8" s="4" customFormat="1" ht="25.5">
      <c r="A24" s="50">
        <v>13</v>
      </c>
      <c r="B24" s="54" t="s">
        <v>47</v>
      </c>
      <c r="C24" s="62">
        <v>7.1393700338918435</v>
      </c>
      <c r="D24" s="62">
        <v>4.5381927831185083</v>
      </c>
      <c r="E24" s="62">
        <v>40.840000000000003</v>
      </c>
      <c r="F24" s="62">
        <v>17.075057203101203</v>
      </c>
      <c r="G24" s="55">
        <f t="shared" si="0"/>
        <v>3.7484487428910215E-4</v>
      </c>
      <c r="H24" s="55">
        <f t="shared" si="1"/>
        <v>1.3917928657118974</v>
      </c>
    </row>
    <row r="25" spans="1:8" s="4" customFormat="1" ht="25.5">
      <c r="A25" s="50">
        <v>14</v>
      </c>
      <c r="B25" s="54" t="s">
        <v>48</v>
      </c>
      <c r="C25" s="62">
        <v>14.194681625500163</v>
      </c>
      <c r="D25" s="62">
        <v>45.995627581000768</v>
      </c>
      <c r="E25" s="62">
        <v>58.138045679619182</v>
      </c>
      <c r="F25" s="62">
        <v>161.0955439570028</v>
      </c>
      <c r="G25" s="55">
        <f t="shared" si="0"/>
        <v>5.3361284094492973E-4</v>
      </c>
      <c r="H25" s="55">
        <f t="shared" si="1"/>
        <v>-0.63910829404979375</v>
      </c>
    </row>
    <row r="26" spans="1:8" s="4" customFormat="1" ht="25.5">
      <c r="A26" s="50">
        <v>15</v>
      </c>
      <c r="B26" s="54" t="s">
        <v>49</v>
      </c>
      <c r="C26" s="62">
        <v>944.44</v>
      </c>
      <c r="D26" s="62">
        <v>992.64</v>
      </c>
      <c r="E26" s="62">
        <v>4311.530723220475</v>
      </c>
      <c r="F26" s="62">
        <v>4306.7607068653397</v>
      </c>
      <c r="G26" s="55">
        <f t="shared" si="0"/>
        <v>3.9572849949539191E-2</v>
      </c>
      <c r="H26" s="55">
        <f t="shared" si="1"/>
        <v>1.1075647522119192E-3</v>
      </c>
    </row>
    <row r="27" spans="1:8" s="4" customFormat="1" ht="25.5">
      <c r="A27" s="50">
        <v>16</v>
      </c>
      <c r="B27" s="54" t="s">
        <v>50</v>
      </c>
      <c r="C27" s="62">
        <v>388.52042875568441</v>
      </c>
      <c r="D27" s="62">
        <v>319.16541391347153</v>
      </c>
      <c r="E27" s="62">
        <v>1548.76</v>
      </c>
      <c r="F27" s="62">
        <v>1323.8456157235114</v>
      </c>
      <c r="G27" s="55">
        <f t="shared" si="0"/>
        <v>1.4215101554945882E-2</v>
      </c>
      <c r="H27" s="55">
        <f t="shared" si="1"/>
        <v>0.16989472307431241</v>
      </c>
    </row>
    <row r="28" spans="1:8" s="4" customFormat="1" ht="25.5">
      <c r="A28" s="50">
        <v>17</v>
      </c>
      <c r="B28" s="54" t="s">
        <v>51</v>
      </c>
      <c r="C28" s="62">
        <v>1349.2281508838671</v>
      </c>
      <c r="D28" s="62">
        <v>1246.6260522</v>
      </c>
      <c r="E28" s="62">
        <v>4512.3008530508396</v>
      </c>
      <c r="F28" s="62">
        <v>3849.3094981468703</v>
      </c>
      <c r="G28" s="55">
        <f t="shared" si="0"/>
        <v>4.1415593683066854E-2</v>
      </c>
      <c r="H28" s="55">
        <f t="shared" si="1"/>
        <v>0.17223643752811921</v>
      </c>
    </row>
    <row r="29" spans="1:8" s="4" customFormat="1" ht="25.5">
      <c r="A29" s="50">
        <v>18</v>
      </c>
      <c r="B29" s="54" t="s">
        <v>52</v>
      </c>
      <c r="C29" s="62">
        <v>363.50518441400015</v>
      </c>
      <c r="D29" s="62">
        <v>272.29873930399998</v>
      </c>
      <c r="E29" s="62">
        <v>1323.8860655510002</v>
      </c>
      <c r="F29" s="62">
        <v>1005.3814328789999</v>
      </c>
      <c r="G29" s="55">
        <f t="shared" si="0"/>
        <v>1.2151124040513191E-2</v>
      </c>
      <c r="H29" s="55">
        <f t="shared" si="1"/>
        <v>0.3167997958346353</v>
      </c>
    </row>
    <row r="30" spans="1:8" s="4" customFormat="1" ht="25.5">
      <c r="A30" s="50">
        <v>19</v>
      </c>
      <c r="B30" s="54" t="s">
        <v>53</v>
      </c>
      <c r="C30" s="62">
        <v>1556.226794725</v>
      </c>
      <c r="D30" s="62">
        <v>1469.9957999999999</v>
      </c>
      <c r="E30" s="62">
        <v>6442.6845987559991</v>
      </c>
      <c r="F30" s="62">
        <v>5809.6702999999998</v>
      </c>
      <c r="G30" s="55">
        <f t="shared" si="0"/>
        <v>5.9133381452130922E-2</v>
      </c>
      <c r="H30" s="55">
        <f t="shared" si="1"/>
        <v>0.10895873019782196</v>
      </c>
    </row>
    <row r="31" spans="1:8" s="4" customFormat="1" ht="25.5">
      <c r="A31" s="50">
        <v>20</v>
      </c>
      <c r="B31" s="54" t="s">
        <v>54</v>
      </c>
      <c r="C31" s="62">
        <v>4136.1855902000007</v>
      </c>
      <c r="D31" s="62">
        <v>3557.5644942999998</v>
      </c>
      <c r="E31" s="62">
        <v>16435.676320999999</v>
      </c>
      <c r="F31" s="62">
        <v>14228.029373400001</v>
      </c>
      <c r="G31" s="55">
        <f t="shared" si="0"/>
        <v>0.15085281646429033</v>
      </c>
      <c r="H31" s="55">
        <f t="shared" si="1"/>
        <v>0.15516182105494544</v>
      </c>
    </row>
    <row r="32" spans="1:8" s="4" customFormat="1" ht="25.5">
      <c r="A32" s="50">
        <v>21</v>
      </c>
      <c r="B32" s="54" t="s">
        <v>55</v>
      </c>
      <c r="C32" s="62">
        <v>2043.1599999999999</v>
      </c>
      <c r="D32" s="62">
        <v>2082.71</v>
      </c>
      <c r="E32" s="62">
        <v>7848.2883000000002</v>
      </c>
      <c r="F32" s="62">
        <v>6880.29</v>
      </c>
      <c r="G32" s="55">
        <f t="shared" si="0"/>
        <v>7.2034540675762274E-2</v>
      </c>
      <c r="H32" s="55">
        <f t="shared" si="1"/>
        <v>0.14069149701538747</v>
      </c>
    </row>
    <row r="33" spans="1:8" s="4" customFormat="1" ht="25.5">
      <c r="A33" s="50">
        <v>22</v>
      </c>
      <c r="B33" s="54" t="s">
        <v>56</v>
      </c>
      <c r="C33" s="62">
        <v>2221.6600000000008</v>
      </c>
      <c r="D33" s="62">
        <v>2068.9400000000005</v>
      </c>
      <c r="E33" s="62">
        <v>7887.3500000000013</v>
      </c>
      <c r="F33" s="62">
        <v>7355.64</v>
      </c>
      <c r="G33" s="55">
        <f t="shared" si="0"/>
        <v>7.2393063644078118E-2</v>
      </c>
      <c r="H33" s="55">
        <f t="shared" si="1"/>
        <v>7.2286028136232999E-2</v>
      </c>
    </row>
    <row r="34" spans="1:8" s="4" customFormat="1" ht="25.5">
      <c r="A34" s="50">
        <v>23</v>
      </c>
      <c r="B34" s="54" t="s">
        <v>57</v>
      </c>
      <c r="C34" s="62">
        <v>440.6715685145428</v>
      </c>
      <c r="D34" s="62">
        <v>376.81</v>
      </c>
      <c r="E34" s="62">
        <v>1752.1246577893396</v>
      </c>
      <c r="F34" s="62">
        <v>1500.603078056</v>
      </c>
      <c r="G34" s="55">
        <f t="shared" si="0"/>
        <v>1.6081658841525005E-2</v>
      </c>
      <c r="H34" s="55">
        <f t="shared" si="1"/>
        <v>0.16761366374056796</v>
      </c>
    </row>
    <row r="35" spans="1:8" s="4" customFormat="1" ht="25.5">
      <c r="A35" s="50">
        <v>24</v>
      </c>
      <c r="B35" s="54" t="s">
        <v>58</v>
      </c>
      <c r="C35" s="62">
        <v>81.430000000000007</v>
      </c>
      <c r="D35" s="62">
        <v>73.38</v>
      </c>
      <c r="E35" s="62">
        <v>329.92</v>
      </c>
      <c r="F35" s="62">
        <v>299.45999999999998</v>
      </c>
      <c r="G35" s="55">
        <f t="shared" si="0"/>
        <v>3.0281297973912976E-3</v>
      </c>
      <c r="H35" s="55">
        <f t="shared" si="1"/>
        <v>0.10171642289454363</v>
      </c>
    </row>
    <row r="36" spans="1:8" s="4" customFormat="1" ht="25.5">
      <c r="A36" s="50">
        <v>25</v>
      </c>
      <c r="B36" s="54" t="s">
        <v>87</v>
      </c>
      <c r="C36" s="62">
        <v>146.56671312300654</v>
      </c>
      <c r="D36" s="62">
        <v>171.75543045775601</v>
      </c>
      <c r="E36" s="62">
        <v>720.68431136691106</v>
      </c>
      <c r="F36" s="62">
        <v>608.32325269590285</v>
      </c>
      <c r="G36" s="55">
        <f t="shared" si="0"/>
        <v>6.6147115596586169E-3</v>
      </c>
      <c r="H36" s="55">
        <f t="shared" si="1"/>
        <v>0.18470617089361341</v>
      </c>
    </row>
    <row r="37" spans="1:8" s="4" customFormat="1" ht="25.5">
      <c r="A37" s="50"/>
      <c r="B37" s="56" t="s">
        <v>59</v>
      </c>
      <c r="C37" s="47">
        <f>SUM(C12:C36)</f>
        <v>24438.644104422168</v>
      </c>
      <c r="D37" s="47">
        <f t="shared" ref="D37:F37" si="2">SUM(D12:D36)</f>
        <v>24558.027382618937</v>
      </c>
      <c r="E37" s="47">
        <f>SUM(E12:E36)</f>
        <v>94161.185944875018</v>
      </c>
      <c r="F37" s="47">
        <f t="shared" si="2"/>
        <v>88607.072285851726</v>
      </c>
      <c r="G37" s="57">
        <f t="shared" ref="G37" si="3">E37/$E$99</f>
        <v>0.86424676563220981</v>
      </c>
      <c r="H37" s="58">
        <f t="shared" si="1"/>
        <v>6.2682509598166042E-2</v>
      </c>
    </row>
    <row r="38" spans="1:8" s="4" customFormat="1" ht="25.5">
      <c r="A38" s="50">
        <v>26</v>
      </c>
      <c r="B38" s="54" t="s">
        <v>60</v>
      </c>
      <c r="C38" s="62">
        <v>462.3826062</v>
      </c>
      <c r="D38" s="62">
        <v>364.96290800000003</v>
      </c>
      <c r="E38" s="62">
        <v>1789.0329632261103</v>
      </c>
      <c r="F38" s="62">
        <v>1405.5534198</v>
      </c>
      <c r="G38" s="55">
        <f t="shared" ref="G38:G45" si="4">E38/$E$50</f>
        <v>1.6420417144944938E-2</v>
      </c>
      <c r="H38" s="55">
        <f t="shared" si="1"/>
        <v>0.27283171028866093</v>
      </c>
    </row>
    <row r="39" spans="1:8" s="4" customFormat="1" ht="25.5">
      <c r="A39" s="50">
        <v>27</v>
      </c>
      <c r="B39" s="54" t="s">
        <v>61</v>
      </c>
      <c r="C39" s="62">
        <v>836.157258914571</v>
      </c>
      <c r="D39" s="62">
        <v>731.39446940000005</v>
      </c>
      <c r="E39" s="62">
        <v>2885.601418993293</v>
      </c>
      <c r="F39" s="62">
        <v>2660.9541870047183</v>
      </c>
      <c r="G39" s="55">
        <f t="shared" si="4"/>
        <v>2.648513470007335E-2</v>
      </c>
      <c r="H39" s="55">
        <f t="shared" si="1"/>
        <v>8.4423562452026688E-2</v>
      </c>
    </row>
    <row r="40" spans="1:8" s="4" customFormat="1" ht="25.5">
      <c r="A40" s="50">
        <v>28</v>
      </c>
      <c r="B40" s="54" t="s">
        <v>62</v>
      </c>
      <c r="C40" s="62">
        <v>152.20534500313073</v>
      </c>
      <c r="D40" s="62">
        <v>137.22847777906355</v>
      </c>
      <c r="E40" s="62">
        <v>684.20764958407131</v>
      </c>
      <c r="F40" s="62">
        <v>547.28336676098775</v>
      </c>
      <c r="G40" s="55">
        <f t="shared" si="4"/>
        <v>6.2799150439760837E-3</v>
      </c>
      <c r="H40" s="55">
        <f t="shared" si="1"/>
        <v>0.25018900836224717</v>
      </c>
    </row>
    <row r="41" spans="1:8" s="4" customFormat="1" ht="25.5">
      <c r="A41" s="50">
        <v>29</v>
      </c>
      <c r="B41" s="54" t="s">
        <v>63</v>
      </c>
      <c r="C41" s="62">
        <v>637.32221482954355</v>
      </c>
      <c r="D41" s="62">
        <v>579.23944641900005</v>
      </c>
      <c r="E41" s="62">
        <v>2269.2236082861482</v>
      </c>
      <c r="F41" s="62">
        <v>2043.4152989670001</v>
      </c>
      <c r="G41" s="55">
        <f t="shared" si="4"/>
        <v>2.0827787418753282E-2</v>
      </c>
      <c r="H41" s="55">
        <f t="shared" si="1"/>
        <v>0.11050534339901442</v>
      </c>
    </row>
    <row r="42" spans="1:8" s="4" customFormat="1" ht="25.5">
      <c r="A42" s="50"/>
      <c r="B42" s="54" t="s">
        <v>64</v>
      </c>
      <c r="C42" s="44">
        <v>0</v>
      </c>
      <c r="D42" s="44">
        <v>0</v>
      </c>
      <c r="E42" s="44">
        <v>0</v>
      </c>
      <c r="F42" s="44">
        <v>0</v>
      </c>
      <c r="G42" s="55">
        <f t="shared" si="4"/>
        <v>0</v>
      </c>
      <c r="H42" s="59" t="e">
        <f t="shared" si="1"/>
        <v>#DIV/0!</v>
      </c>
    </row>
    <row r="43" spans="1:8" s="4" customFormat="1" ht="25.5">
      <c r="A43" s="50">
        <v>30</v>
      </c>
      <c r="B43" s="54" t="s">
        <v>65</v>
      </c>
      <c r="C43" s="62">
        <v>1518.48796431189</v>
      </c>
      <c r="D43" s="62">
        <v>1468.0893822999999</v>
      </c>
      <c r="E43" s="62">
        <v>5115.8100000000004</v>
      </c>
      <c r="F43" s="62">
        <v>4944.0143584999996</v>
      </c>
      <c r="G43" s="55">
        <f t="shared" si="4"/>
        <v>4.6954827530287263E-2</v>
      </c>
      <c r="H43" s="55">
        <f t="shared" si="1"/>
        <v>3.4748208448189682E-2</v>
      </c>
    </row>
    <row r="44" spans="1:8" s="4" customFormat="1" ht="25.5">
      <c r="A44" s="50">
        <v>31</v>
      </c>
      <c r="B44" s="54" t="s">
        <v>90</v>
      </c>
      <c r="C44" s="62">
        <v>2.8884619420903972</v>
      </c>
      <c r="D44" s="44">
        <v>5.0999999999999997E-2</v>
      </c>
      <c r="E44" s="62">
        <v>4.6065212124293797</v>
      </c>
      <c r="F44" s="44">
        <v>6.0181899999999997E-2</v>
      </c>
      <c r="G44" s="55">
        <f t="shared" si="4"/>
        <v>4.2280383564720209E-5</v>
      </c>
      <c r="H44" s="59">
        <f t="shared" si="1"/>
        <v>75.543299770020226</v>
      </c>
    </row>
    <row r="45" spans="1:8" s="4" customFormat="1" ht="25.5">
      <c r="A45" s="50">
        <v>32</v>
      </c>
      <c r="B45" s="54" t="s">
        <v>92</v>
      </c>
      <c r="C45" s="62">
        <v>12.550701140372874</v>
      </c>
      <c r="D45" s="44">
        <v>0</v>
      </c>
      <c r="E45" s="62">
        <v>24.834056783265524</v>
      </c>
      <c r="F45" s="44">
        <v>0</v>
      </c>
      <c r="G45" s="55">
        <f t="shared" si="4"/>
        <v>2.2793630981908888E-4</v>
      </c>
      <c r="H45" s="59" t="e">
        <f t="shared" si="1"/>
        <v>#DIV/0!</v>
      </c>
    </row>
    <row r="46" spans="1:8" s="4" customFormat="1" ht="25.5">
      <c r="A46" s="50"/>
      <c r="B46" s="56" t="s">
        <v>66</v>
      </c>
      <c r="C46" s="49">
        <f>SUM(C38:C45)</f>
        <v>3621.9945523415986</v>
      </c>
      <c r="D46" s="49">
        <f>SUM(D38:D45)</f>
        <v>3280.9656838980632</v>
      </c>
      <c r="E46" s="49">
        <f>SUM(E38:E45)</f>
        <v>12773.316218085318</v>
      </c>
      <c r="F46" s="49">
        <f>SUM(F38:F45)</f>
        <v>11601.280812932706</v>
      </c>
      <c r="G46" s="57">
        <f t="shared" ref="G46" si="5">E46/$E$99</f>
        <v>0.11723829853141872</v>
      </c>
      <c r="H46" s="58">
        <f t="shared" si="1"/>
        <v>0.10102638010848487</v>
      </c>
    </row>
    <row r="47" spans="1:8" s="4" customFormat="1" ht="25.5">
      <c r="A47" s="50">
        <v>33</v>
      </c>
      <c r="B47" s="54" t="s">
        <v>67</v>
      </c>
      <c r="C47" s="62">
        <v>1505.9084427671721</v>
      </c>
      <c r="D47" s="62">
        <v>971.35582097899999</v>
      </c>
      <c r="E47" s="62">
        <v>1573.8444119456374</v>
      </c>
      <c r="F47" s="62">
        <v>1153.7</v>
      </c>
      <c r="G47" s="55">
        <f>E47/$E$50</f>
        <v>1.4445335718569255E-2</v>
      </c>
      <c r="H47" s="55">
        <f t="shared" ref="H47:H50" si="6">((E47-F47)/F47)</f>
        <v>0.36417128538236743</v>
      </c>
    </row>
    <row r="48" spans="1:8" s="4" customFormat="1" ht="25.5">
      <c r="A48" s="50">
        <v>34</v>
      </c>
      <c r="B48" s="54" t="s">
        <v>68</v>
      </c>
      <c r="C48" s="62">
        <v>121.74</v>
      </c>
      <c r="D48" s="62">
        <v>119.6</v>
      </c>
      <c r="E48" s="62">
        <v>443.39</v>
      </c>
      <c r="F48" s="62">
        <v>428.24</v>
      </c>
      <c r="G48" s="55">
        <f>E48/$E$50</f>
        <v>4.0696001178022771E-3</v>
      </c>
      <c r="H48" s="55">
        <f t="shared" si="6"/>
        <v>3.5377358490565981E-2</v>
      </c>
    </row>
    <row r="49" spans="1:8" s="4" customFormat="1" ht="26.25">
      <c r="A49" s="60"/>
      <c r="B49" s="56" t="s">
        <v>69</v>
      </c>
      <c r="C49" s="51">
        <f>SUM(C47:C48)</f>
        <v>1627.6484427671721</v>
      </c>
      <c r="D49" s="51">
        <f t="shared" ref="D49:F49" si="7">SUM(D47:D48)</f>
        <v>1090.955820979</v>
      </c>
      <c r="E49" s="51">
        <f t="shared" si="7"/>
        <v>2017.2344119456375</v>
      </c>
      <c r="F49" s="51">
        <f t="shared" si="7"/>
        <v>1581.94</v>
      </c>
      <c r="G49" s="57">
        <f>E49/$E$99</f>
        <v>1.8514935836371531E-2</v>
      </c>
      <c r="H49" s="57">
        <f t="shared" si="6"/>
        <v>0.27516493163181754</v>
      </c>
    </row>
    <row r="50" spans="1:8" s="4" customFormat="1" ht="26.25">
      <c r="A50" s="60"/>
      <c r="B50" s="56" t="s">
        <v>70</v>
      </c>
      <c r="C50" s="53">
        <f>(C37+C46+C49)</f>
        <v>29688.287099530939</v>
      </c>
      <c r="D50" s="53">
        <f t="shared" ref="D50:F50" si="8">(D37+D46+D49)</f>
        <v>28929.948887496001</v>
      </c>
      <c r="E50" s="53">
        <f t="shared" si="8"/>
        <v>108951.73657490597</v>
      </c>
      <c r="F50" s="53">
        <f t="shared" si="8"/>
        <v>101790.29309878443</v>
      </c>
      <c r="G50" s="57">
        <f>E50/$E$99</f>
        <v>1</v>
      </c>
      <c r="H50" s="57">
        <f t="shared" si="6"/>
        <v>7.0354876266753366E-2</v>
      </c>
    </row>
    <row r="51" spans="1:8" s="6" customFormat="1" ht="20.100000000000001" customHeight="1">
      <c r="A51" s="65" t="s">
        <v>71</v>
      </c>
      <c r="B51" s="65"/>
      <c r="C51" s="65"/>
      <c r="D51" s="65"/>
      <c r="E51" s="28"/>
      <c r="F51" s="28"/>
      <c r="G51" s="29"/>
      <c r="H51" s="30"/>
    </row>
    <row r="52" spans="1:8" s="6" customFormat="1" ht="20.100000000000001" customHeight="1">
      <c r="A52" s="66" t="s">
        <v>72</v>
      </c>
      <c r="B52" s="66"/>
      <c r="C52" s="66"/>
      <c r="D52" s="66"/>
      <c r="E52" s="66"/>
      <c r="F52" s="66"/>
      <c r="G52" s="66"/>
      <c r="H52" s="66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67" t="s">
        <v>73</v>
      </c>
      <c r="B54" s="67"/>
      <c r="C54" s="67"/>
      <c r="D54" s="67"/>
      <c r="E54" s="67"/>
      <c r="F54" s="67"/>
      <c r="G54" s="67"/>
      <c r="H54" s="67"/>
    </row>
    <row r="55" spans="1:8" s="2" customFormat="1" ht="38.1" customHeight="1">
      <c r="A55" s="68" t="s">
        <v>88</v>
      </c>
      <c r="B55" s="68"/>
      <c r="C55" s="68"/>
      <c r="D55" s="68"/>
      <c r="E55" s="68"/>
      <c r="F55" s="68"/>
      <c r="G55" s="68"/>
      <c r="H55" s="68"/>
    </row>
    <row r="56" spans="1:8" s="2" customFormat="1" ht="38.1" customHeight="1">
      <c r="A56" s="69" t="s">
        <v>96</v>
      </c>
      <c r="B56" s="69"/>
      <c r="C56" s="69"/>
      <c r="D56" s="69"/>
      <c r="E56" s="69"/>
      <c r="F56" s="69"/>
      <c r="G56" s="69"/>
      <c r="H56" s="69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78" t="s">
        <v>74</v>
      </c>
      <c r="D58" s="78"/>
      <c r="E58" s="78"/>
      <c r="F58" s="78"/>
      <c r="G58" s="79" t="s">
        <v>99</v>
      </c>
      <c r="H58" s="79" t="s">
        <v>75</v>
      </c>
    </row>
    <row r="59" spans="1:8" s="4" customFormat="1" ht="33" customHeight="1">
      <c r="A59" s="80" t="s">
        <v>76</v>
      </c>
      <c r="B59" s="81" t="s">
        <v>77</v>
      </c>
      <c r="C59" s="81" t="s">
        <v>97</v>
      </c>
      <c r="D59" s="81"/>
      <c r="E59" s="81" t="s">
        <v>98</v>
      </c>
      <c r="F59" s="81"/>
      <c r="G59" s="79"/>
      <c r="H59" s="79"/>
    </row>
    <row r="60" spans="1:8" s="36" customFormat="1" ht="70.5" customHeight="1">
      <c r="A60" s="80" t="s">
        <v>76</v>
      </c>
      <c r="B60" s="81"/>
      <c r="C60" s="35" t="s">
        <v>95</v>
      </c>
      <c r="D60" s="35" t="s">
        <v>0</v>
      </c>
      <c r="E60" s="61" t="s">
        <v>95</v>
      </c>
      <c r="F60" s="61" t="s">
        <v>0</v>
      </c>
      <c r="G60" s="79"/>
      <c r="H60" s="79"/>
    </row>
    <row r="61" spans="1:8" s="4" customFormat="1" ht="24.75" customHeight="1">
      <c r="A61" s="42">
        <v>1</v>
      </c>
      <c r="B61" s="43" t="s">
        <v>21</v>
      </c>
      <c r="C61" s="62">
        <v>195.880313</v>
      </c>
      <c r="D61" s="62">
        <v>177.15230750000001</v>
      </c>
      <c r="E61" s="62">
        <v>722.85107519999997</v>
      </c>
      <c r="F61" s="62">
        <v>681.98202189999995</v>
      </c>
      <c r="G61" s="45">
        <f t="shared" ref="G61:G98" si="9">E61/$E$99</f>
        <v>6.6345989327396254E-3</v>
      </c>
      <c r="H61" s="45">
        <f t="shared" ref="H61:H85" si="10">((E61-F61)/F61)</f>
        <v>5.9926877817305144E-2</v>
      </c>
    </row>
    <row r="62" spans="1:8" s="4" customFormat="1" ht="24.75" customHeight="1">
      <c r="A62" s="42">
        <v>2</v>
      </c>
      <c r="B62" s="43" t="s">
        <v>4</v>
      </c>
      <c r="C62" s="62">
        <v>2101.8190930000001</v>
      </c>
      <c r="D62" s="62">
        <v>2415.5308889000003</v>
      </c>
      <c r="E62" s="62">
        <v>7272.3619802000003</v>
      </c>
      <c r="F62" s="62">
        <v>7131.7532785000003</v>
      </c>
      <c r="G62" s="45">
        <f t="shared" si="9"/>
        <v>6.6748472386212412E-2</v>
      </c>
      <c r="H62" s="45">
        <f t="shared" si="10"/>
        <v>1.971586736236251E-2</v>
      </c>
    </row>
    <row r="63" spans="1:8" s="4" customFormat="1" ht="24.75" customHeight="1">
      <c r="A63" s="42">
        <v>3</v>
      </c>
      <c r="B63" s="43" t="s">
        <v>14</v>
      </c>
      <c r="C63" s="62">
        <v>616.94568553987392</v>
      </c>
      <c r="D63" s="62">
        <v>693.69784249763336</v>
      </c>
      <c r="E63" s="62">
        <v>2429.0944047330686</v>
      </c>
      <c r="F63" s="62">
        <v>2614.2551933590003</v>
      </c>
      <c r="G63" s="45">
        <f t="shared" si="9"/>
        <v>2.229514169389149E-2</v>
      </c>
      <c r="H63" s="45">
        <f t="shared" si="10"/>
        <v>-7.0827358054522047E-2</v>
      </c>
    </row>
    <row r="64" spans="1:8" s="4" customFormat="1" ht="24.75" customHeight="1">
      <c r="A64" s="42">
        <v>4</v>
      </c>
      <c r="B64" s="43" t="s">
        <v>104</v>
      </c>
      <c r="C64" s="62">
        <v>510.57692455568662</v>
      </c>
      <c r="D64" s="62">
        <v>585.16465088995801</v>
      </c>
      <c r="E64" s="62">
        <v>1740.9356161613134</v>
      </c>
      <c r="F64" s="62">
        <v>2043.4266159440322</v>
      </c>
      <c r="G64" s="45">
        <f t="shared" si="9"/>
        <v>1.597896161080823E-2</v>
      </c>
      <c r="H64" s="45">
        <f t="shared" si="10"/>
        <v>-0.14803125173299775</v>
      </c>
    </row>
    <row r="65" spans="1:10" s="4" customFormat="1" ht="24.75" customHeight="1">
      <c r="A65" s="42">
        <v>5</v>
      </c>
      <c r="B65" s="43" t="s">
        <v>12</v>
      </c>
      <c r="C65" s="62">
        <v>880.57</v>
      </c>
      <c r="D65" s="62">
        <v>694.98</v>
      </c>
      <c r="E65" s="62">
        <v>3387.8991387000001</v>
      </c>
      <c r="F65" s="62">
        <v>3032.467805233</v>
      </c>
      <c r="G65" s="45">
        <f t="shared" si="9"/>
        <v>3.1095412016409377E-2</v>
      </c>
      <c r="H65" s="45">
        <f t="shared" si="10"/>
        <v>0.11720860905881586</v>
      </c>
    </row>
    <row r="66" spans="1:10" s="4" customFormat="1" ht="24.75" customHeight="1">
      <c r="A66" s="42">
        <v>6</v>
      </c>
      <c r="B66" s="43" t="s">
        <v>7</v>
      </c>
      <c r="C66" s="62">
        <v>1216.2064180170159</v>
      </c>
      <c r="D66" s="62">
        <v>1651.588959986</v>
      </c>
      <c r="E66" s="62">
        <v>4636.8606291432534</v>
      </c>
      <c r="F66" s="62">
        <v>5403.317292918</v>
      </c>
      <c r="G66" s="45">
        <f t="shared" si="9"/>
        <v>4.2558850137788685E-2</v>
      </c>
      <c r="H66" s="45">
        <f t="shared" si="10"/>
        <v>-0.14184927928983981</v>
      </c>
    </row>
    <row r="67" spans="1:10" s="4" customFormat="1" ht="24.75" customHeight="1">
      <c r="A67" s="42">
        <v>7</v>
      </c>
      <c r="B67" s="43" t="s">
        <v>2</v>
      </c>
      <c r="C67" s="62">
        <v>2482.96</v>
      </c>
      <c r="D67" s="62">
        <v>2765.42</v>
      </c>
      <c r="E67" s="62">
        <v>10217.796367197992</v>
      </c>
      <c r="F67" s="62">
        <v>10453.050000000001</v>
      </c>
      <c r="G67" s="45">
        <f t="shared" si="9"/>
        <v>9.3782776561556716E-2</v>
      </c>
      <c r="H67" s="45">
        <f t="shared" si="10"/>
        <v>-2.2505740697883268E-2</v>
      </c>
    </row>
    <row r="68" spans="1:10" s="4" customFormat="1" ht="24.75" customHeight="1">
      <c r="A68" s="42">
        <v>8</v>
      </c>
      <c r="B68" s="43" t="s">
        <v>15</v>
      </c>
      <c r="C68" s="62">
        <v>831.94452322699999</v>
      </c>
      <c r="D68" s="62">
        <v>753.51478314600001</v>
      </c>
      <c r="E68" s="62">
        <v>2865.515920418</v>
      </c>
      <c r="F68" s="62">
        <v>2601.8853536879997</v>
      </c>
      <c r="G68" s="45">
        <f t="shared" si="9"/>
        <v>2.6300782442764594E-2</v>
      </c>
      <c r="H68" s="45">
        <f t="shared" si="10"/>
        <v>0.10132289893415998</v>
      </c>
    </row>
    <row r="69" spans="1:10" s="4" customFormat="1" ht="24.75" customHeight="1">
      <c r="A69" s="42">
        <v>9</v>
      </c>
      <c r="B69" s="43" t="s">
        <v>24</v>
      </c>
      <c r="C69" s="62">
        <v>7.7438533104935248</v>
      </c>
      <c r="D69" s="62">
        <v>10.248538707</v>
      </c>
      <c r="E69" s="62">
        <v>288.78944587553087</v>
      </c>
      <c r="F69" s="62">
        <v>306.44556464400006</v>
      </c>
      <c r="G69" s="45">
        <f t="shared" si="9"/>
        <v>2.6506181081105006E-3</v>
      </c>
      <c r="H69" s="45">
        <f t="shared" si="10"/>
        <v>-5.7615840480446899E-2</v>
      </c>
    </row>
    <row r="70" spans="1:10" s="4" customFormat="1" ht="24.75" customHeight="1">
      <c r="A70" s="42">
        <v>10</v>
      </c>
      <c r="B70" s="43" t="s">
        <v>20</v>
      </c>
      <c r="C70" s="62">
        <v>247.59655939043108</v>
      </c>
      <c r="D70" s="62">
        <v>203.10324808499504</v>
      </c>
      <c r="E70" s="62">
        <v>868.0016799393311</v>
      </c>
      <c r="F70" s="62">
        <v>755.7743851829814</v>
      </c>
      <c r="G70" s="45">
        <f t="shared" si="9"/>
        <v>7.9668457541524993E-3</v>
      </c>
      <c r="H70" s="45">
        <f t="shared" si="10"/>
        <v>0.14849311773007259</v>
      </c>
    </row>
    <row r="71" spans="1:10" s="4" customFormat="1" ht="24.75" customHeight="1">
      <c r="A71" s="42">
        <v>11</v>
      </c>
      <c r="B71" s="43" t="s">
        <v>93</v>
      </c>
      <c r="C71" s="62">
        <v>296.59225210617177</v>
      </c>
      <c r="D71" s="62">
        <v>268.236412368</v>
      </c>
      <c r="E71" s="62">
        <v>1192.7558108923411</v>
      </c>
      <c r="F71" s="62">
        <v>1101.400915556</v>
      </c>
      <c r="G71" s="45">
        <f t="shared" si="9"/>
        <v>1.0947561263259933E-2</v>
      </c>
      <c r="H71" s="45">
        <f t="shared" si="10"/>
        <v>8.2944270379713705E-2</v>
      </c>
    </row>
    <row r="72" spans="1:10" s="4" customFormat="1" ht="24.75" customHeight="1">
      <c r="A72" s="42">
        <v>12</v>
      </c>
      <c r="B72" s="43" t="s">
        <v>8</v>
      </c>
      <c r="C72" s="62">
        <v>1356.88</v>
      </c>
      <c r="D72" s="62">
        <v>1656.97</v>
      </c>
      <c r="E72" s="62">
        <v>5326.14</v>
      </c>
      <c r="F72" s="62">
        <v>5135.83</v>
      </c>
      <c r="G72" s="45">
        <f t="shared" si="9"/>
        <v>4.8885315346379986E-2</v>
      </c>
      <c r="H72" s="45">
        <f t="shared" si="10"/>
        <v>3.7055354246538615E-2</v>
      </c>
      <c r="J72" s="63"/>
    </row>
    <row r="73" spans="1:10" s="4" customFormat="1" ht="24.75" customHeight="1">
      <c r="A73" s="42">
        <v>13</v>
      </c>
      <c r="B73" s="43" t="s">
        <v>28</v>
      </c>
      <c r="C73" s="62">
        <v>7.1393700338918435</v>
      </c>
      <c r="D73" s="62">
        <v>4.5381927831185083</v>
      </c>
      <c r="E73" s="62">
        <v>40.840000000000003</v>
      </c>
      <c r="F73" s="62">
        <v>17.075057203101203</v>
      </c>
      <c r="G73" s="45">
        <f t="shared" si="9"/>
        <v>3.7484487428910215E-4</v>
      </c>
      <c r="H73" s="45">
        <f t="shared" si="10"/>
        <v>1.3917928657118974</v>
      </c>
    </row>
    <row r="74" spans="1:10" s="4" customFormat="1" ht="24.75" customHeight="1">
      <c r="A74" s="42">
        <v>14</v>
      </c>
      <c r="B74" s="43" t="s">
        <v>27</v>
      </c>
      <c r="C74" s="62">
        <v>14.194681625500163</v>
      </c>
      <c r="D74" s="62">
        <v>45.995627581000768</v>
      </c>
      <c r="E74" s="62">
        <v>58.138045679619182</v>
      </c>
      <c r="F74" s="62">
        <v>161.0955439570028</v>
      </c>
      <c r="G74" s="45">
        <f t="shared" si="9"/>
        <v>5.3361284094492973E-4</v>
      </c>
      <c r="H74" s="45">
        <f t="shared" si="10"/>
        <v>-0.63910829404979375</v>
      </c>
    </row>
    <row r="75" spans="1:10" s="4" customFormat="1" ht="24.75" customHeight="1">
      <c r="A75" s="42">
        <v>15</v>
      </c>
      <c r="B75" s="43" t="s">
        <v>10</v>
      </c>
      <c r="C75" s="62">
        <v>944.44</v>
      </c>
      <c r="D75" s="62">
        <v>992.64</v>
      </c>
      <c r="E75" s="62">
        <v>4311.530723220475</v>
      </c>
      <c r="F75" s="62">
        <v>4306.7607068653397</v>
      </c>
      <c r="G75" s="45">
        <f t="shared" si="9"/>
        <v>3.9572849949539191E-2</v>
      </c>
      <c r="H75" s="45">
        <f t="shared" si="10"/>
        <v>1.1075647522119192E-3</v>
      </c>
    </row>
    <row r="76" spans="1:10" s="4" customFormat="1" ht="24.75" customHeight="1">
      <c r="A76" s="42">
        <v>16</v>
      </c>
      <c r="B76" s="43" t="s">
        <v>18</v>
      </c>
      <c r="C76" s="62">
        <v>388.52042875568441</v>
      </c>
      <c r="D76" s="62">
        <v>319.16541391347153</v>
      </c>
      <c r="E76" s="62">
        <v>1548.76</v>
      </c>
      <c r="F76" s="62">
        <v>1323.8456157235114</v>
      </c>
      <c r="G76" s="45">
        <f t="shared" si="9"/>
        <v>1.4215101554945882E-2</v>
      </c>
      <c r="H76" s="45">
        <f t="shared" si="10"/>
        <v>0.16989472307431241</v>
      </c>
    </row>
    <row r="77" spans="1:10" s="4" customFormat="1" ht="24.75" customHeight="1">
      <c r="A77" s="42">
        <v>17</v>
      </c>
      <c r="B77" s="43" t="s">
        <v>11</v>
      </c>
      <c r="C77" s="62">
        <v>1349.2281508838671</v>
      </c>
      <c r="D77" s="62">
        <v>1246.6260522</v>
      </c>
      <c r="E77" s="62">
        <v>4512.3008530508396</v>
      </c>
      <c r="F77" s="62">
        <v>3849.3094981468703</v>
      </c>
      <c r="G77" s="45">
        <f t="shared" si="9"/>
        <v>4.1415593683066854E-2</v>
      </c>
      <c r="H77" s="45">
        <f t="shared" si="10"/>
        <v>0.17223643752811921</v>
      </c>
    </row>
    <row r="78" spans="1:10" s="4" customFormat="1" ht="24.75" customHeight="1">
      <c r="A78" s="42">
        <v>18</v>
      </c>
      <c r="B78" s="43" t="s">
        <v>19</v>
      </c>
      <c r="C78" s="62">
        <v>363.50518441400015</v>
      </c>
      <c r="D78" s="62">
        <v>272.29873930399998</v>
      </c>
      <c r="E78" s="62">
        <v>1323.8860655510002</v>
      </c>
      <c r="F78" s="62">
        <v>1005.3814328789999</v>
      </c>
      <c r="G78" s="45">
        <f t="shared" si="9"/>
        <v>1.2151124040513191E-2</v>
      </c>
      <c r="H78" s="45">
        <f t="shared" si="10"/>
        <v>0.3167997958346353</v>
      </c>
    </row>
    <row r="79" spans="1:10" s="4" customFormat="1" ht="24.75" customHeight="1">
      <c r="A79" s="42">
        <v>19</v>
      </c>
      <c r="B79" s="43" t="s">
        <v>6</v>
      </c>
      <c r="C79" s="62">
        <v>1556.226794725</v>
      </c>
      <c r="D79" s="62">
        <v>1469.9957999999999</v>
      </c>
      <c r="E79" s="62">
        <v>6442.6845987559991</v>
      </c>
      <c r="F79" s="62">
        <v>5809.6702999999998</v>
      </c>
      <c r="G79" s="45">
        <f t="shared" si="9"/>
        <v>5.9133381452130922E-2</v>
      </c>
      <c r="H79" s="45">
        <f t="shared" si="10"/>
        <v>0.10895873019782196</v>
      </c>
    </row>
    <row r="80" spans="1:10" s="4" customFormat="1" ht="24.75" customHeight="1">
      <c r="A80" s="42">
        <v>20</v>
      </c>
      <c r="B80" s="43" t="s">
        <v>1</v>
      </c>
      <c r="C80" s="62">
        <v>4136.1855902000007</v>
      </c>
      <c r="D80" s="62">
        <v>3557.5644942999998</v>
      </c>
      <c r="E80" s="62">
        <v>16435.676320999999</v>
      </c>
      <c r="F80" s="62">
        <v>14228.029373400001</v>
      </c>
      <c r="G80" s="45">
        <f t="shared" si="9"/>
        <v>0.15085281646429033</v>
      </c>
      <c r="H80" s="45">
        <f t="shared" si="10"/>
        <v>0.15516182105494544</v>
      </c>
    </row>
    <row r="81" spans="1:10" s="4" customFormat="1" ht="24.75" customHeight="1">
      <c r="A81" s="42">
        <v>21</v>
      </c>
      <c r="B81" s="43" t="s">
        <v>5</v>
      </c>
      <c r="C81" s="62">
        <v>2043.1599999999999</v>
      </c>
      <c r="D81" s="62">
        <v>2082.71</v>
      </c>
      <c r="E81" s="62">
        <v>7848.2883000000002</v>
      </c>
      <c r="F81" s="62">
        <v>6880.29</v>
      </c>
      <c r="G81" s="45">
        <f t="shared" si="9"/>
        <v>7.2034540675762274E-2</v>
      </c>
      <c r="H81" s="45">
        <f t="shared" si="10"/>
        <v>0.14069149701538747</v>
      </c>
      <c r="J81" s="63"/>
    </row>
    <row r="82" spans="1:10" s="4" customFormat="1" ht="24.75" customHeight="1">
      <c r="A82" s="42">
        <v>22</v>
      </c>
      <c r="B82" s="43" t="s">
        <v>3</v>
      </c>
      <c r="C82" s="62">
        <v>2221.6600000000008</v>
      </c>
      <c r="D82" s="62">
        <v>2068.9400000000005</v>
      </c>
      <c r="E82" s="62">
        <v>7887.3500000000013</v>
      </c>
      <c r="F82" s="62">
        <v>7355.64</v>
      </c>
      <c r="G82" s="45">
        <f t="shared" si="9"/>
        <v>7.2393063644078118E-2</v>
      </c>
      <c r="H82" s="45">
        <f t="shared" si="10"/>
        <v>7.2286028136232999E-2</v>
      </c>
    </row>
    <row r="83" spans="1:10" s="4" customFormat="1" ht="24.75" customHeight="1">
      <c r="A83" s="42">
        <v>23</v>
      </c>
      <c r="B83" s="43" t="s">
        <v>16</v>
      </c>
      <c r="C83" s="62">
        <v>440.6715685145428</v>
      </c>
      <c r="D83" s="62">
        <v>376.81</v>
      </c>
      <c r="E83" s="62">
        <v>1752.1246577893396</v>
      </c>
      <c r="F83" s="62">
        <v>1500.603078056</v>
      </c>
      <c r="G83" s="45">
        <f t="shared" si="9"/>
        <v>1.6081658841525005E-2</v>
      </c>
      <c r="H83" s="45">
        <f t="shared" si="10"/>
        <v>0.16761366374056796</v>
      </c>
    </row>
    <row r="84" spans="1:10" s="4" customFormat="1" ht="24.75" customHeight="1">
      <c r="A84" s="42">
        <v>24</v>
      </c>
      <c r="B84" s="43" t="s">
        <v>25</v>
      </c>
      <c r="C84" s="62">
        <v>81.430000000000007</v>
      </c>
      <c r="D84" s="62">
        <v>73.38</v>
      </c>
      <c r="E84" s="62">
        <v>329.92</v>
      </c>
      <c r="F84" s="62">
        <v>299.45999999999998</v>
      </c>
      <c r="G84" s="45">
        <f t="shared" si="9"/>
        <v>3.0281297973912976E-3</v>
      </c>
      <c r="H84" s="45">
        <f t="shared" si="10"/>
        <v>0.10171642289454363</v>
      </c>
    </row>
    <row r="85" spans="1:10" s="4" customFormat="1" ht="24.75" customHeight="1">
      <c r="A85" s="42">
        <v>25</v>
      </c>
      <c r="B85" s="43" t="s">
        <v>86</v>
      </c>
      <c r="C85" s="62">
        <v>146.56671312300654</v>
      </c>
      <c r="D85" s="62">
        <v>171.75543045775601</v>
      </c>
      <c r="E85" s="62">
        <v>720.68431136691106</v>
      </c>
      <c r="F85" s="62">
        <v>608.32325269590285</v>
      </c>
      <c r="G85" s="45">
        <f t="shared" si="9"/>
        <v>6.6147115596586169E-3</v>
      </c>
      <c r="H85" s="45">
        <f t="shared" si="10"/>
        <v>0.18470617089361341</v>
      </c>
    </row>
    <row r="86" spans="1:10" s="4" customFormat="1" ht="24.75" customHeight="1">
      <c r="A86" s="42"/>
      <c r="B86" s="46" t="s">
        <v>78</v>
      </c>
      <c r="C86" s="47">
        <f>SUM(C61:C85)</f>
        <v>24438.644104422168</v>
      </c>
      <c r="D86" s="47">
        <f>SUM(D61:D85)</f>
        <v>24558.027382618937</v>
      </c>
      <c r="E86" s="47">
        <f>SUM(E61:E85)</f>
        <v>94161.185944875018</v>
      </c>
      <c r="F86" s="47">
        <f>SUM(F61:F85)</f>
        <v>88607.072285851726</v>
      </c>
      <c r="G86" s="48">
        <f t="shared" si="9"/>
        <v>0.86424676563220981</v>
      </c>
      <c r="H86" s="48">
        <f t="shared" ref="H86" si="11">((E86-F86)/F86)</f>
        <v>6.2682509598166042E-2</v>
      </c>
    </row>
    <row r="87" spans="1:10" s="4" customFormat="1" ht="24.75" customHeight="1">
      <c r="A87" s="42">
        <v>26</v>
      </c>
      <c r="B87" s="43" t="s">
        <v>17</v>
      </c>
      <c r="C87" s="62">
        <v>462.3826062</v>
      </c>
      <c r="D87" s="62">
        <v>364.96290800000003</v>
      </c>
      <c r="E87" s="62">
        <v>1789.0329632261103</v>
      </c>
      <c r="F87" s="62">
        <v>1405.5534198</v>
      </c>
      <c r="G87" s="45">
        <f t="shared" si="9"/>
        <v>1.6420417144944938E-2</v>
      </c>
      <c r="H87" s="45">
        <f>((E87-F87)/F87)</f>
        <v>0.27283171028866093</v>
      </c>
    </row>
    <row r="88" spans="1:10" s="5" customFormat="1" ht="24.75" customHeight="1">
      <c r="A88" s="42">
        <v>27</v>
      </c>
      <c r="B88" s="43" t="s">
        <v>13</v>
      </c>
      <c r="C88" s="62">
        <v>836.157258914571</v>
      </c>
      <c r="D88" s="62">
        <v>731.39446940000005</v>
      </c>
      <c r="E88" s="62">
        <v>2885.601418993293</v>
      </c>
      <c r="F88" s="62">
        <v>2660.9541870047183</v>
      </c>
      <c r="G88" s="45">
        <f t="shared" si="9"/>
        <v>2.648513470007335E-2</v>
      </c>
      <c r="H88" s="45">
        <f t="shared" ref="H88:H93" si="12">((E88-F88)/F88)</f>
        <v>8.4423562452026688E-2</v>
      </c>
    </row>
    <row r="89" spans="1:10" s="4" customFormat="1" ht="24.75" customHeight="1">
      <c r="A89" s="42">
        <v>28</v>
      </c>
      <c r="B89" s="43" t="s">
        <v>22</v>
      </c>
      <c r="C89" s="62">
        <v>152.20534500313073</v>
      </c>
      <c r="D89" s="62">
        <v>137.22847777906355</v>
      </c>
      <c r="E89" s="62">
        <v>684.20764958407131</v>
      </c>
      <c r="F89" s="62">
        <v>547.28336676098775</v>
      </c>
      <c r="G89" s="45">
        <f t="shared" si="9"/>
        <v>6.2799150439760837E-3</v>
      </c>
      <c r="H89" s="45">
        <f t="shared" si="12"/>
        <v>0.25018900836224717</v>
      </c>
    </row>
    <row r="90" spans="1:10" s="4" customFormat="1" ht="24.75" customHeight="1">
      <c r="A90" s="42">
        <v>29</v>
      </c>
      <c r="B90" s="43" t="s">
        <v>79</v>
      </c>
      <c r="C90" s="62">
        <v>637.32221482954355</v>
      </c>
      <c r="D90" s="62">
        <v>579.23944641900005</v>
      </c>
      <c r="E90" s="62">
        <v>2269.2236082861482</v>
      </c>
      <c r="F90" s="62">
        <v>2043.4152989670001</v>
      </c>
      <c r="G90" s="45">
        <f t="shared" si="9"/>
        <v>2.0827787418753282E-2</v>
      </c>
      <c r="H90" s="45">
        <f t="shared" si="12"/>
        <v>0.11050534339901442</v>
      </c>
    </row>
    <row r="91" spans="1:10" s="4" customFormat="1" ht="24.75" customHeight="1">
      <c r="A91" s="42"/>
      <c r="B91" s="43" t="s">
        <v>80</v>
      </c>
      <c r="C91" s="44">
        <v>0</v>
      </c>
      <c r="D91" s="44">
        <v>0</v>
      </c>
      <c r="E91" s="44">
        <v>0</v>
      </c>
      <c r="F91" s="44">
        <v>0</v>
      </c>
      <c r="G91" s="45">
        <f t="shared" si="9"/>
        <v>0</v>
      </c>
      <c r="H91" s="44">
        <v>0</v>
      </c>
    </row>
    <row r="92" spans="1:10" s="4" customFormat="1" ht="24.75" customHeight="1">
      <c r="A92" s="42">
        <v>30</v>
      </c>
      <c r="B92" s="43" t="s">
        <v>9</v>
      </c>
      <c r="C92" s="62">
        <v>1518.48796431189</v>
      </c>
      <c r="D92" s="62">
        <v>1468.0893822999999</v>
      </c>
      <c r="E92" s="62">
        <v>5115.8100000000004</v>
      </c>
      <c r="F92" s="62">
        <v>4944.0143584999996</v>
      </c>
      <c r="G92" s="45">
        <f t="shared" si="9"/>
        <v>4.6954827530287263E-2</v>
      </c>
      <c r="H92" s="45">
        <f t="shared" si="12"/>
        <v>3.4748208448189682E-2</v>
      </c>
    </row>
    <row r="93" spans="1:10" s="4" customFormat="1" ht="24.75" customHeight="1">
      <c r="A93" s="42">
        <v>31</v>
      </c>
      <c r="B93" s="43" t="s">
        <v>89</v>
      </c>
      <c r="C93" s="62">
        <v>2.8884619420903972</v>
      </c>
      <c r="D93" s="44">
        <v>5.0999999999999997E-2</v>
      </c>
      <c r="E93" s="62">
        <v>4.6065212124293797</v>
      </c>
      <c r="F93" s="44">
        <v>6.0181899999999997E-2</v>
      </c>
      <c r="G93" s="45">
        <f t="shared" si="9"/>
        <v>4.2280383564720209E-5</v>
      </c>
      <c r="H93" s="45">
        <f t="shared" si="12"/>
        <v>75.543299770020226</v>
      </c>
    </row>
    <row r="94" spans="1:10" s="4" customFormat="1" ht="24.75" customHeight="1">
      <c r="A94" s="42">
        <v>32</v>
      </c>
      <c r="B94" s="43" t="s">
        <v>91</v>
      </c>
      <c r="C94" s="62">
        <v>12.550701140372874</v>
      </c>
      <c r="D94" s="44">
        <v>0</v>
      </c>
      <c r="E94" s="62">
        <v>24.834056783265524</v>
      </c>
      <c r="F94" s="44">
        <v>0</v>
      </c>
      <c r="G94" s="45">
        <f t="shared" si="9"/>
        <v>2.2793630981908888E-4</v>
      </c>
      <c r="H94" s="44">
        <v>0</v>
      </c>
    </row>
    <row r="95" spans="1:10" s="4" customFormat="1" ht="24.75" customHeight="1">
      <c r="A95" s="42"/>
      <c r="B95" s="46" t="s">
        <v>81</v>
      </c>
      <c r="C95" s="49">
        <f>SUM(C87:C94)</f>
        <v>3621.9945523415986</v>
      </c>
      <c r="D95" s="49">
        <f>SUM(D87:D94)</f>
        <v>3280.9656838980632</v>
      </c>
      <c r="E95" s="49">
        <f>SUM(E87:E94)</f>
        <v>12773.316218085318</v>
      </c>
      <c r="F95" s="49">
        <f>SUM(F87:F94)</f>
        <v>11601.280812932706</v>
      </c>
      <c r="G95" s="48">
        <f t="shared" si="9"/>
        <v>0.11723829853141872</v>
      </c>
      <c r="H95" s="48">
        <f t="shared" ref="H95:H99" si="13">((E95-F95)/F95)</f>
        <v>0.10102638010848487</v>
      </c>
    </row>
    <row r="96" spans="1:10" s="4" customFormat="1" ht="24.75" customHeight="1">
      <c r="A96" s="50">
        <v>33</v>
      </c>
      <c r="B96" s="43" t="s">
        <v>26</v>
      </c>
      <c r="C96" s="62">
        <v>1505.9084427671721</v>
      </c>
      <c r="D96" s="62">
        <v>971.35582097899999</v>
      </c>
      <c r="E96" s="62">
        <v>1573.8444119456374</v>
      </c>
      <c r="F96" s="62">
        <v>1153.7</v>
      </c>
      <c r="G96" s="45">
        <f t="shared" si="9"/>
        <v>1.4445335718569255E-2</v>
      </c>
      <c r="H96" s="45">
        <f t="shared" si="13"/>
        <v>0.36417128538236743</v>
      </c>
    </row>
    <row r="97" spans="1:8" s="4" customFormat="1" ht="24.75" customHeight="1">
      <c r="A97" s="50">
        <v>34</v>
      </c>
      <c r="B97" s="43" t="s">
        <v>23</v>
      </c>
      <c r="C97" s="62">
        <v>121.74</v>
      </c>
      <c r="D97" s="62">
        <v>119.6</v>
      </c>
      <c r="E97" s="62">
        <v>443.39</v>
      </c>
      <c r="F97" s="62">
        <v>428.24</v>
      </c>
      <c r="G97" s="45">
        <f t="shared" si="9"/>
        <v>4.0696001178022771E-3</v>
      </c>
      <c r="H97" s="45">
        <f t="shared" si="13"/>
        <v>3.5377358490565981E-2</v>
      </c>
    </row>
    <row r="98" spans="1:8" s="4" customFormat="1" ht="26.25">
      <c r="A98" s="42"/>
      <c r="B98" s="46" t="s">
        <v>82</v>
      </c>
      <c r="C98" s="51">
        <f>SUM(C96:C97)</f>
        <v>1627.6484427671721</v>
      </c>
      <c r="D98" s="51">
        <f t="shared" ref="D98:F98" si="14">SUM(D96:D97)</f>
        <v>1090.955820979</v>
      </c>
      <c r="E98" s="51">
        <f t="shared" si="14"/>
        <v>2017.2344119456375</v>
      </c>
      <c r="F98" s="51">
        <f t="shared" si="14"/>
        <v>1581.94</v>
      </c>
      <c r="G98" s="48">
        <f t="shared" si="9"/>
        <v>1.8514935836371531E-2</v>
      </c>
      <c r="H98" s="48">
        <f t="shared" si="13"/>
        <v>0.27516493163181754</v>
      </c>
    </row>
    <row r="99" spans="1:8" s="4" customFormat="1" ht="26.25">
      <c r="A99" s="42"/>
      <c r="B99" s="52" t="s">
        <v>83</v>
      </c>
      <c r="C99" s="53">
        <f>(C86+C95+C98)</f>
        <v>29688.287099530939</v>
      </c>
      <c r="D99" s="53">
        <f>(D86+D95+D98)</f>
        <v>28929.948887496001</v>
      </c>
      <c r="E99" s="53">
        <f>(E86+E95+E98)</f>
        <v>108951.73657490597</v>
      </c>
      <c r="F99" s="53">
        <f>(F86+F95+F98)</f>
        <v>101790.29309878443</v>
      </c>
      <c r="G99" s="48">
        <f>E99/$E$99</f>
        <v>1</v>
      </c>
      <c r="H99" s="48">
        <f t="shared" si="13"/>
        <v>7.0354876266753366E-2</v>
      </c>
    </row>
    <row r="100" spans="1:8" s="6" customFormat="1" ht="15">
      <c r="A100" s="77" t="s">
        <v>84</v>
      </c>
      <c r="B100" s="77"/>
      <c r="C100" s="77"/>
      <c r="D100" s="77"/>
      <c r="E100" s="77"/>
      <c r="F100" s="77"/>
      <c r="G100" s="77"/>
      <c r="H100" s="77"/>
    </row>
    <row r="101" spans="1:8" s="6" customFormat="1" ht="15" customHeight="1">
      <c r="A101" s="77" t="s">
        <v>85</v>
      </c>
      <c r="B101" s="77"/>
      <c r="C101" s="77"/>
      <c r="D101" s="37"/>
      <c r="E101" s="37"/>
      <c r="F101" s="37"/>
      <c r="G101" s="37"/>
      <c r="H101" s="37"/>
    </row>
    <row r="102" spans="1:8" ht="15.75">
      <c r="A102" s="76"/>
      <c r="B102" s="76"/>
      <c r="C102" s="76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2025-05-19T09:32:16Z</cp:lastPrinted>
  <dcterms:created xsi:type="dcterms:W3CDTF">2024-07-04T10:52:00Z</dcterms:created>
  <dcterms:modified xsi:type="dcterms:W3CDTF">2025-08-13T05:45:17Z</dcterms:modified>
</cp:coreProperties>
</file>