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8.NOVEMBER\"/>
    </mc:Choice>
  </mc:AlternateContent>
  <bookViews>
    <workbookView xWindow="0" yWindow="0" windowWidth="28800" windowHeight="1140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H98" i="2"/>
  <c r="H95" i="2"/>
  <c r="H86" i="2"/>
  <c r="G69" i="2" l="1"/>
  <c r="G99" i="2"/>
  <c r="G87" i="2"/>
  <c r="G94" i="2"/>
  <c r="G93" i="2"/>
  <c r="G82" i="2"/>
  <c r="G62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<sst xmlns="http://schemas.openxmlformats.org/spreadsheetml/2006/main" count="122" uniqueCount="106">
  <si>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</si>
  <si>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</si>
  <si>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</si>
  <si>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</si>
  <si>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</si>
  <si>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</si>
  <si>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</si>
  <si>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</si>
  <si>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</si>
  <si>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</si>
  <si>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</si>
  <si>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</si>
  <si>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</si>
  <si>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</si>
  <si>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</si>
  <si>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</si>
  <si>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</si>
  <si>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</si>
  <si>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</si>
  <si>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</si>
  <si>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</si>
  <si>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</si>
  <si>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</si>
  <si>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</si>
  <si>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</si>
  <si>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</si>
  <si>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</si>
  <si>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</si>
  <si>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</si>
  <si>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</si>
  <si>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</si>
  <si>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</si>
  <si>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</si>
  <si>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</si>
  <si>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</si>
  <si>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</si>
  <si>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</si>
  <si>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</si>
  <si>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</si>
  <si>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</si>
  <si>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</si>
  <si>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</si>
  <si>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</si>
  <si>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</si>
  <si>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</si>
  <si>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</si>
  <si>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</si>
  <si>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</si>
  <si>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</si>
  <si>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</si>
  <si>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</si>
  <si>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</si>
  <si>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</si>
  <si>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</si>
  <si>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</si>
  <si>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</si>
  <si>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</si>
  <si>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</si>
  <si>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</si>
  <si>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</si>
  <si>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</si>
  <si>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</si>
  <si>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</si>
  <si>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</si>
  <si>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</si>
  <si>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</si>
  <si>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</si>
  <si>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</si>
  <si>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</si>
  <si>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</si>
  <si>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</si>
  <si>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</si>
  <si>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</si>
  <si>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</si>
  <si>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</si>
  <si>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</si>
  <si>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</si>
  <si>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</si>
  <si>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</si>
  <si>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</si>
  <si>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</si>
  <si>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</si>
  <si>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</si>
  <si>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</si>
  <si>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</si>
  <si>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</si>
  <si>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</si>
  <si>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</si>
  <si>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</si>
  <si>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</si>
  <si>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</si>
  <si>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</si>
  <si>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</si>
  <si>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</si>
  <si>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</si>
  <si>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</si>
  <si>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</si>
  <si>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</si>
  <si>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GROSS DIRECT PREMIUM UNDERWRITTEN FOR AND UPTO THE MONTH  OF NOVEMBER, 2025</t>
  </si>
  <si>
    <t>For the Month of NOVEMBER</t>
  </si>
  <si>
    <t>Upto the Month of NOVEMBER</t>
  </si>
  <si>
    <t>Market Share upto the Month of NOVEMBER, 2025 (%)</t>
  </si>
  <si>
    <t>नवंबर , 2025 माह और तक के लिए सकल प्रत्यक्ष प्रीमियम अधिग्रहण</t>
  </si>
  <si>
    <t>नवंबर  माह के लिए</t>
  </si>
  <si>
    <t>नवंबर माह तक</t>
  </si>
  <si>
    <t>नवंबर , 2025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</si>
</sst>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10" fontId="23" fillId="2" borderId="3" xfId="0" applyNumberFormat="1" applyFont="1" applyFill="1" applyBorder="1" applyAlignment="1">
      <alignment vertical="center"/>
    </xf>
    <xf numFmtId="43" fontId="28" fillId="2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zoomScale="98" zoomScaleNormal="98" zoomScaleSheetLayoutView="98" workbookViewId="0">
      <selection activeCell="J55" sqref="J55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9" t="s">
        <v>28</v>
      </c>
      <c r="B2" s="69"/>
      <c r="C2" s="69"/>
      <c r="D2" s="69"/>
      <c r="E2" s="69"/>
      <c r="F2" s="69"/>
      <c r="G2" s="69"/>
      <c r="H2" s="69"/>
    </row>
    <row r="3" spans="1:8" s="2" customFormat="1" ht="36" customHeight="1">
      <c r="A3" s="70" t="s">
        <v>29</v>
      </c>
      <c r="B3" s="70"/>
      <c r="C3" s="70"/>
      <c r="D3" s="70"/>
      <c r="E3" s="70"/>
      <c r="F3" s="70"/>
      <c r="G3" s="70"/>
      <c r="H3" s="70"/>
    </row>
    <row r="4" spans="1:8" s="2" customFormat="1" ht="36" customHeight="1">
      <c r="A4" s="71" t="s">
        <v>102</v>
      </c>
      <c r="B4" s="71"/>
      <c r="C4" s="71"/>
      <c r="D4" s="71"/>
      <c r="E4" s="71"/>
      <c r="F4" s="71"/>
      <c r="G4" s="71"/>
      <c r="H4" s="71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2" t="s">
        <v>30</v>
      </c>
      <c r="D6" s="72"/>
      <c r="E6" s="72"/>
      <c r="F6" s="72"/>
      <c r="G6" s="73" t="s">
        <v>105</v>
      </c>
      <c r="H6" s="73" t="s">
        <v>31</v>
      </c>
    </row>
    <row r="7" spans="1:8" s="4" customFormat="1" ht="11.25" customHeight="1">
      <c r="B7" s="20"/>
      <c r="C7" s="76" t="s">
        <v>32</v>
      </c>
      <c r="D7" s="76"/>
      <c r="E7" s="76"/>
      <c r="F7" s="76"/>
      <c r="G7" s="74"/>
      <c r="H7" s="74"/>
    </row>
    <row r="8" spans="1:8" s="22" customFormat="1" ht="32.25" customHeight="1">
      <c r="A8" s="38"/>
      <c r="B8" s="21"/>
      <c r="C8" s="77" t="s">
        <v>103</v>
      </c>
      <c r="D8" s="77"/>
      <c r="E8" s="77" t="s">
        <v>104</v>
      </c>
      <c r="F8" s="77"/>
      <c r="G8" s="74"/>
      <c r="H8" s="74"/>
    </row>
    <row r="9" spans="1:8" s="23" customFormat="1" ht="9" customHeight="1">
      <c r="A9" s="38"/>
      <c r="B9" s="21"/>
      <c r="C9" s="76" t="s">
        <v>33</v>
      </c>
      <c r="D9" s="76"/>
      <c r="E9" s="76" t="s">
        <v>32</v>
      </c>
      <c r="F9" s="76"/>
      <c r="G9" s="74"/>
      <c r="H9" s="74"/>
    </row>
    <row r="10" spans="1:8" s="24" customFormat="1" ht="47.25" customHeight="1">
      <c r="A10" s="41" t="s">
        <v>34</v>
      </c>
      <c r="B10" s="41" t="s">
        <v>35</v>
      </c>
      <c r="C10" s="62" t="s">
        <v>94</v>
      </c>
      <c r="D10" s="62" t="s">
        <v>0</v>
      </c>
      <c r="E10" s="62" t="s">
        <v>94</v>
      </c>
      <c r="F10" s="62" t="s">
        <v>0</v>
      </c>
      <c r="G10" s="75"/>
      <c r="H10" s="75"/>
    </row>
    <row r="11" spans="1:8" s="3" customFormat="1" ht="13.5" customHeight="1">
      <c r="A11" s="25" t="s">
        <v>32</v>
      </c>
      <c r="B11" s="25" t="s">
        <v>33</v>
      </c>
      <c r="C11" s="26" t="s">
        <v>33</v>
      </c>
      <c r="D11" s="26" t="s">
        <v>32</v>
      </c>
      <c r="E11" s="26" t="s">
        <v>32</v>
      </c>
      <c r="F11" s="26" t="s">
        <v>32</v>
      </c>
      <c r="G11" s="27" t="s">
        <v>32</v>
      </c>
      <c r="H11" s="27" t="s">
        <v>32</v>
      </c>
    </row>
    <row r="12" spans="1:8" s="4" customFormat="1" ht="25.5">
      <c r="A12" s="50">
        <v>1</v>
      </c>
      <c r="B12" s="54" t="s">
        <v>36</v>
      </c>
      <c r="C12" s="66">
        <v>233.49100000000001</v>
      </c>
      <c r="D12" s="66">
        <v>175.91180159999996</v>
      </c>
      <c r="E12" s="66">
        <v>1640.8856820000001</v>
      </c>
      <c r="F12" s="66">
        <v>1383.287290397273</v>
      </c>
      <c r="G12" s="55">
        <f t="shared" ref="G12:G36" si="0">E12/$E$50</f>
        <v>7.4074557955028791E-3</v>
      </c>
      <c r="H12" s="55">
        <f>((E12-F12)/F12)</f>
        <v>0.18622190299221661</v>
      </c>
    </row>
    <row r="13" spans="1:8" s="4" customFormat="1" ht="25.5">
      <c r="A13" s="50">
        <v>2</v>
      </c>
      <c r="B13" s="54" t="s">
        <v>37</v>
      </c>
      <c r="C13" s="66">
        <v>3999.3818644000003</v>
      </c>
      <c r="D13" s="66">
        <v>1364.6713921000003</v>
      </c>
      <c r="E13" s="66">
        <v>17463.846414300002</v>
      </c>
      <c r="F13" s="66">
        <v>15781.544087600003</v>
      </c>
      <c r="G13" s="55">
        <f t="shared" si="0"/>
        <v>7.8837101056122641E-2</v>
      </c>
      <c r="H13" s="55">
        <f t="shared" ref="H13:H46" si="1">((E13-F13)/F13)</f>
        <v>0.10659934904733628</v>
      </c>
    </row>
    <row r="14" spans="1:8" s="4" customFormat="1" ht="25.5">
      <c r="A14" s="50">
        <v>3</v>
      </c>
      <c r="B14" s="54" t="s">
        <v>38</v>
      </c>
      <c r="C14" s="66">
        <v>640.52006792615896</v>
      </c>
      <c r="D14" s="66">
        <v>633.23473612957991</v>
      </c>
      <c r="E14" s="66">
        <v>5063.176160956159</v>
      </c>
      <c r="F14" s="66">
        <v>5460.6136410168529</v>
      </c>
      <c r="G14" s="55">
        <f t="shared" si="0"/>
        <v>2.285671330339923E-2</v>
      </c>
      <c r="H14" s="55">
        <f t="shared" si="1"/>
        <v>-7.2782567342868199E-2</v>
      </c>
    </row>
    <row r="15" spans="1:8" s="4" customFormat="1" ht="25.5">
      <c r="A15" s="50">
        <v>4</v>
      </c>
      <c r="B15" s="54" t="s">
        <v>96</v>
      </c>
      <c r="C15" s="66">
        <v>442.44531996688011</v>
      </c>
      <c r="D15" s="66">
        <v>270.8000139763962</v>
      </c>
      <c r="E15" s="66">
        <v>3452.8520423694554</v>
      </c>
      <c r="F15" s="66">
        <v>3480.1823398396223</v>
      </c>
      <c r="G15" s="55">
        <f t="shared" si="0"/>
        <v>1.558722167719151E-2</v>
      </c>
      <c r="H15" s="55">
        <f t="shared" si="1"/>
        <v>-7.8531222796292804E-3</v>
      </c>
    </row>
    <row r="16" spans="1:8" s="4" customFormat="1" ht="25.5">
      <c r="A16" s="50">
        <v>5</v>
      </c>
      <c r="B16" s="54" t="s">
        <v>39</v>
      </c>
      <c r="C16" s="66">
        <v>780.78928240000005</v>
      </c>
      <c r="D16" s="66">
        <v>650.61043071799998</v>
      </c>
      <c r="E16" s="66">
        <v>6666.6227559999998</v>
      </c>
      <c r="F16" s="66">
        <v>5855.0456193059999</v>
      </c>
      <c r="G16" s="55">
        <f t="shared" si="0"/>
        <v>3.0095157701768266E-2</v>
      </c>
      <c r="H16" s="55">
        <f t="shared" si="1"/>
        <v>0.13861158212294106</v>
      </c>
    </row>
    <row r="17" spans="1:8" s="4" customFormat="1" ht="25.5">
      <c r="A17" s="50">
        <v>6</v>
      </c>
      <c r="B17" s="54" t="s">
        <v>40</v>
      </c>
      <c r="C17" s="66">
        <v>1081.0514398710723</v>
      </c>
      <c r="D17" s="66">
        <v>935.99688440886996</v>
      </c>
      <c r="E17" s="66">
        <v>9696.7965060156039</v>
      </c>
      <c r="F17" s="66">
        <v>11266.45137384287</v>
      </c>
      <c r="G17" s="55">
        <f t="shared" si="0"/>
        <v>4.3774281331255688E-2</v>
      </c>
      <c r="H17" s="55">
        <f t="shared" si="1"/>
        <v>-0.13932114165703566</v>
      </c>
    </row>
    <row r="18" spans="1:8" s="4" customFormat="1" ht="25.5">
      <c r="A18" s="50">
        <v>7</v>
      </c>
      <c r="B18" s="54" t="s">
        <v>41</v>
      </c>
      <c r="C18" s="66">
        <v>2187</v>
      </c>
      <c r="D18" s="66">
        <v>2036.77</v>
      </c>
      <c r="E18" s="66">
        <v>19094.37636719799</v>
      </c>
      <c r="F18" s="66">
        <v>18660.620000000003</v>
      </c>
      <c r="G18" s="55">
        <f t="shared" si="0"/>
        <v>8.6197807948642929E-2</v>
      </c>
      <c r="H18" s="55">
        <f t="shared" si="1"/>
        <v>2.3244477793234512E-2</v>
      </c>
    </row>
    <row r="19" spans="1:8" s="4" customFormat="1" ht="25.5">
      <c r="A19" s="50">
        <v>8</v>
      </c>
      <c r="B19" s="54" t="s">
        <v>42</v>
      </c>
      <c r="C19" s="66">
        <v>636.62936313700004</v>
      </c>
      <c r="D19" s="66">
        <v>687.85969003799994</v>
      </c>
      <c r="E19" s="66">
        <v>5832.2943619757834</v>
      </c>
      <c r="F19" s="66">
        <v>5586.3108597839991</v>
      </c>
      <c r="G19" s="55">
        <f t="shared" si="0"/>
        <v>2.6328746204939024E-2</v>
      </c>
      <c r="H19" s="55">
        <f t="shared" si="1"/>
        <v>4.4033264235727745E-2</v>
      </c>
    </row>
    <row r="20" spans="1:8" s="4" customFormat="1" ht="25.5">
      <c r="A20" s="50">
        <v>9</v>
      </c>
      <c r="B20" s="54" t="s">
        <v>43</v>
      </c>
      <c r="C20" s="66">
        <v>3.5534263304983154</v>
      </c>
      <c r="D20" s="66">
        <v>9.9179830400000011</v>
      </c>
      <c r="E20" s="66">
        <v>524.54930624662677</v>
      </c>
      <c r="F20" s="66">
        <v>709.96485890400004</v>
      </c>
      <c r="G20" s="55">
        <f t="shared" si="0"/>
        <v>2.367974710979037E-3</v>
      </c>
      <c r="H20" s="55">
        <f t="shared" si="1"/>
        <v>-0.2611615917773823</v>
      </c>
    </row>
    <row r="21" spans="1:8" s="4" customFormat="1" ht="25.5">
      <c r="A21" s="50">
        <v>10</v>
      </c>
      <c r="B21" s="54" t="s">
        <v>44</v>
      </c>
      <c r="C21" s="66">
        <v>231.44251022537037</v>
      </c>
      <c r="D21" s="66">
        <v>171.128696084995</v>
      </c>
      <c r="E21" s="66">
        <v>1861.237127156975</v>
      </c>
      <c r="F21" s="66">
        <v>1547.9201052198669</v>
      </c>
      <c r="G21" s="55">
        <f t="shared" si="0"/>
        <v>8.402189071184828E-3</v>
      </c>
      <c r="H21" s="55">
        <f t="shared" si="1"/>
        <v>0.20241162375276764</v>
      </c>
    </row>
    <row r="22" spans="1:8" s="4" customFormat="1" ht="25.5">
      <c r="A22" s="50">
        <v>11</v>
      </c>
      <c r="B22" s="54" t="s">
        <v>93</v>
      </c>
      <c r="C22" s="66">
        <v>275.14276618859685</v>
      </c>
      <c r="D22" s="66">
        <v>228.57621165256253</v>
      </c>
      <c r="E22" s="66">
        <v>2248.6468849772382</v>
      </c>
      <c r="F22" s="66">
        <v>2019.5922235200364</v>
      </c>
      <c r="G22" s="55">
        <f t="shared" si="0"/>
        <v>1.0151074253912673E-2</v>
      </c>
      <c r="H22" s="55">
        <f t="shared" si="1"/>
        <v>0.11341629205621136</v>
      </c>
    </row>
    <row r="23" spans="1:8" s="4" customFormat="1" ht="25.5">
      <c r="A23" s="50">
        <v>12</v>
      </c>
      <c r="B23" s="54" t="s">
        <v>45</v>
      </c>
      <c r="C23" s="66">
        <v>1069.57</v>
      </c>
      <c r="D23" s="66">
        <v>1421.71</v>
      </c>
      <c r="E23" s="66">
        <v>12196.99</v>
      </c>
      <c r="F23" s="66">
        <v>11773.84</v>
      </c>
      <c r="G23" s="55">
        <f t="shared" si="0"/>
        <v>5.5060913294745086E-2</v>
      </c>
      <c r="H23" s="55">
        <f t="shared" si="1"/>
        <v>3.593984630333006E-2</v>
      </c>
    </row>
    <row r="24" spans="1:8" s="4" customFormat="1" ht="25.5">
      <c r="A24" s="50">
        <v>13</v>
      </c>
      <c r="B24" s="54" t="s">
        <v>46</v>
      </c>
      <c r="C24" s="66">
        <v>8.8657129999999995</v>
      </c>
      <c r="D24" s="66">
        <v>5.1989913879998495</v>
      </c>
      <c r="E24" s="66">
        <v>69.368614892404977</v>
      </c>
      <c r="F24" s="66">
        <v>37.011634342507186</v>
      </c>
      <c r="G24" s="55">
        <f t="shared" si="0"/>
        <v>3.1315097331122458E-4</v>
      </c>
      <c r="H24" s="55">
        <f t="shared" si="1"/>
        <v>0.87423809093283922</v>
      </c>
    </row>
    <row r="25" spans="1:8" s="4" customFormat="1" ht="25.5">
      <c r="A25" s="50">
        <v>14</v>
      </c>
      <c r="B25" s="54" t="s">
        <v>47</v>
      </c>
      <c r="C25" s="66">
        <v>29.072692466833335</v>
      </c>
      <c r="D25" s="66">
        <v>16.851500848500475</v>
      </c>
      <c r="E25" s="66">
        <v>148.04427667535717</v>
      </c>
      <c r="F25" s="66">
        <v>297.27963405050457</v>
      </c>
      <c r="G25" s="55">
        <f t="shared" si="0"/>
        <v>6.6831677994366593E-4</v>
      </c>
      <c r="H25" s="55">
        <f t="shared" si="1"/>
        <v>-0.50200330019847217</v>
      </c>
    </row>
    <row r="26" spans="1:8" s="4" customFormat="1" ht="25.5">
      <c r="A26" s="50">
        <v>15</v>
      </c>
      <c r="B26" s="54" t="s">
        <v>48</v>
      </c>
      <c r="C26" s="66">
        <v>935.35948309668788</v>
      </c>
      <c r="D26" s="66">
        <v>1033.339226489393</v>
      </c>
      <c r="E26" s="66">
        <v>8909.4973790794302</v>
      </c>
      <c r="F26" s="66">
        <v>9270.1324302134235</v>
      </c>
      <c r="G26" s="55">
        <f t="shared" si="0"/>
        <v>4.0220174214232456E-2</v>
      </c>
      <c r="H26" s="55">
        <f t="shared" si="1"/>
        <v>-3.89029017491275E-2</v>
      </c>
    </row>
    <row r="27" spans="1:8" s="4" customFormat="1" ht="25.5">
      <c r="A27" s="50">
        <v>16</v>
      </c>
      <c r="B27" s="54" t="s">
        <v>49</v>
      </c>
      <c r="C27" s="66">
        <v>317.94990406262286</v>
      </c>
      <c r="D27" s="66">
        <v>290.79982626466881</v>
      </c>
      <c r="E27" s="66">
        <v>2852.9271172647523</v>
      </c>
      <c r="F27" s="66">
        <v>2530.6769285190971</v>
      </c>
      <c r="G27" s="55">
        <f t="shared" si="0"/>
        <v>1.2878978554540225E-2</v>
      </c>
      <c r="H27" s="55">
        <f t="shared" si="1"/>
        <v>0.12733754558478141</v>
      </c>
    </row>
    <row r="28" spans="1:8" s="4" customFormat="1" ht="25.5">
      <c r="A28" s="50">
        <v>17</v>
      </c>
      <c r="B28" s="54" t="s">
        <v>50</v>
      </c>
      <c r="C28" s="66">
        <v>1132.6099364477213</v>
      </c>
      <c r="D28" s="66">
        <v>836.69278710000003</v>
      </c>
      <c r="E28" s="66">
        <v>9509.3848585549949</v>
      </c>
      <c r="F28" s="66">
        <v>8385.5388301330804</v>
      </c>
      <c r="G28" s="55">
        <f t="shared" si="0"/>
        <v>4.2928248295953209E-2</v>
      </c>
      <c r="H28" s="55">
        <f t="shared" si="1"/>
        <v>0.13402192169016272</v>
      </c>
    </row>
    <row r="29" spans="1:8" s="4" customFormat="1" ht="25.5">
      <c r="A29" s="50">
        <v>18</v>
      </c>
      <c r="B29" s="54" t="s">
        <v>51</v>
      </c>
      <c r="C29" s="66">
        <v>402.55255728399982</v>
      </c>
      <c r="D29" s="66">
        <v>344.30302563200019</v>
      </c>
      <c r="E29" s="66">
        <v>2881.8850953830001</v>
      </c>
      <c r="F29" s="66">
        <v>2302.4110097880002</v>
      </c>
      <c r="G29" s="55">
        <f t="shared" si="0"/>
        <v>1.3009703653303114E-2</v>
      </c>
      <c r="H29" s="55">
        <f t="shared" si="1"/>
        <v>0.25168142574524793</v>
      </c>
    </row>
    <row r="30" spans="1:8" s="4" customFormat="1" ht="25.5">
      <c r="A30" s="50">
        <v>19</v>
      </c>
      <c r="B30" s="54" t="s">
        <v>52</v>
      </c>
      <c r="C30" s="66">
        <v>1624.4547901400001</v>
      </c>
      <c r="D30" s="66">
        <v>1290.4727582350001</v>
      </c>
      <c r="E30" s="66">
        <v>13299.99979688169</v>
      </c>
      <c r="F30" s="66">
        <v>11739.832175308524</v>
      </c>
      <c r="G30" s="55">
        <f t="shared" si="0"/>
        <v>6.0040234159102368E-2</v>
      </c>
      <c r="H30" s="55">
        <f t="shared" si="1"/>
        <v>0.13289522356670014</v>
      </c>
    </row>
    <row r="31" spans="1:8" s="4" customFormat="1" ht="25.5">
      <c r="A31" s="50">
        <v>20</v>
      </c>
      <c r="B31" s="54" t="s">
        <v>53</v>
      </c>
      <c r="C31" s="66">
        <v>2780.9301189999996</v>
      </c>
      <c r="D31" s="66">
        <v>2510.1843958999998</v>
      </c>
      <c r="E31" s="66">
        <v>28434.280671500001</v>
      </c>
      <c r="F31" s="66">
        <v>25104.6531287</v>
      </c>
      <c r="G31" s="55">
        <f t="shared" si="0"/>
        <v>0.12836096960413246</v>
      </c>
      <c r="H31" s="55">
        <f t="shared" si="1"/>
        <v>0.13262989636743966</v>
      </c>
    </row>
    <row r="32" spans="1:8" s="4" customFormat="1" ht="25.5">
      <c r="A32" s="50">
        <v>21</v>
      </c>
      <c r="B32" s="54" t="s">
        <v>54</v>
      </c>
      <c r="C32" s="66">
        <v>1453.7471</v>
      </c>
      <c r="D32" s="66">
        <v>1474.0982999999999</v>
      </c>
      <c r="E32" s="66">
        <v>14178.5826</v>
      </c>
      <c r="F32" s="66">
        <v>13012.038200000001</v>
      </c>
      <c r="G32" s="55">
        <f t="shared" si="0"/>
        <v>6.4006423484891051E-2</v>
      </c>
      <c r="H32" s="55">
        <f t="shared" si="1"/>
        <v>8.965116625618258E-2</v>
      </c>
    </row>
    <row r="33" spans="1:8" s="4" customFormat="1" ht="25.5">
      <c r="A33" s="50">
        <v>22</v>
      </c>
      <c r="B33" s="54" t="s">
        <v>55</v>
      </c>
      <c r="C33" s="66">
        <v>1357.07</v>
      </c>
      <c r="D33" s="66">
        <v>1279.03</v>
      </c>
      <c r="E33" s="66">
        <v>13882.43</v>
      </c>
      <c r="F33" s="66">
        <v>12866.550000000001</v>
      </c>
      <c r="G33" s="55">
        <f t="shared" si="0"/>
        <v>6.2669500798997788E-2</v>
      </c>
      <c r="H33" s="55">
        <f t="shared" si="1"/>
        <v>7.8955120059378714E-2</v>
      </c>
    </row>
    <row r="34" spans="1:8" s="4" customFormat="1" ht="25.5">
      <c r="A34" s="50">
        <v>23</v>
      </c>
      <c r="B34" s="54" t="s">
        <v>56</v>
      </c>
      <c r="C34" s="66">
        <v>538.60081084366743</v>
      </c>
      <c r="D34" s="66">
        <v>421.24654198531385</v>
      </c>
      <c r="E34" s="66">
        <v>3931.4174571296417</v>
      </c>
      <c r="F34" s="66">
        <v>3625.5714039413133</v>
      </c>
      <c r="G34" s="55">
        <f t="shared" si="0"/>
        <v>1.7747611150985811E-2</v>
      </c>
      <c r="H34" s="55">
        <f t="shared" si="1"/>
        <v>8.4358027773455774E-2</v>
      </c>
    </row>
    <row r="35" spans="1:8" s="4" customFormat="1" ht="25.5">
      <c r="A35" s="50">
        <v>24</v>
      </c>
      <c r="B35" s="54" t="s">
        <v>57</v>
      </c>
      <c r="C35" s="66">
        <v>108.04</v>
      </c>
      <c r="D35" s="66">
        <v>76.67</v>
      </c>
      <c r="E35" s="66">
        <v>726.27</v>
      </c>
      <c r="F35" s="66">
        <v>640.62999999999988</v>
      </c>
      <c r="G35" s="55">
        <f t="shared" si="0"/>
        <v>3.2786031224568122E-3</v>
      </c>
      <c r="H35" s="55">
        <f t="shared" si="1"/>
        <v>0.13368090785632911</v>
      </c>
    </row>
    <row r="36" spans="1:8" s="4" customFormat="1" ht="25.5">
      <c r="A36" s="50">
        <v>25</v>
      </c>
      <c r="B36" s="54" t="s">
        <v>86</v>
      </c>
      <c r="C36" s="66">
        <v>147.1943822760571</v>
      </c>
      <c r="D36" s="66">
        <v>143.55126536734355</v>
      </c>
      <c r="E36" s="66">
        <v>1362.5924427612731</v>
      </c>
      <c r="F36" s="66">
        <v>1239.3383146850051</v>
      </c>
      <c r="G36" s="55">
        <f t="shared" si="0"/>
        <v>6.1511556824227426E-3</v>
      </c>
      <c r="H36" s="55">
        <f t="shared" si="1"/>
        <v>9.94515594457311E-2</v>
      </c>
    </row>
    <row r="37" spans="1:8" s="4" customFormat="1" ht="25.5">
      <c r="A37" s="50"/>
      <c r="B37" s="56" t="s">
        <v>58</v>
      </c>
      <c r="C37" s="47">
        <f>SUM(C12:C36)</f>
        <v>22417.464529063171</v>
      </c>
      <c r="D37" s="47">
        <f t="shared" ref="D37:F37" si="2">SUM(D12:D36)</f>
        <v>18309.626458958624</v>
      </c>
      <c r="E37" s="47">
        <f>SUM(E12:E36)</f>
        <v>185928.95391931833</v>
      </c>
      <c r="F37" s="47">
        <f t="shared" si="2"/>
        <v>174577.03608911199</v>
      </c>
      <c r="G37" s="57">
        <f t="shared" ref="G37" si="3">E37/$E$99</f>
        <v>0.83933970682391656</v>
      </c>
      <c r="H37" s="58">
        <f t="shared" si="1"/>
        <v>6.5025263829154523E-2</v>
      </c>
    </row>
    <row r="38" spans="1:8" s="4" customFormat="1" ht="25.5">
      <c r="A38" s="50">
        <v>26</v>
      </c>
      <c r="B38" s="54" t="s">
        <v>59</v>
      </c>
      <c r="C38" s="66">
        <v>500.90045397002899</v>
      </c>
      <c r="D38" s="66">
        <v>298.30801289999999</v>
      </c>
      <c r="E38" s="66">
        <v>3757.6745658751888</v>
      </c>
      <c r="F38" s="66">
        <v>2817.2317024974896</v>
      </c>
      <c r="G38" s="55">
        <f t="shared" ref="G38:G45" si="4">E38/$E$50</f>
        <v>1.6963283028150606E-2</v>
      </c>
      <c r="H38" s="55">
        <f t="shared" si="1"/>
        <v>0.33381807486547599</v>
      </c>
    </row>
    <row r="39" spans="1:8" s="4" customFormat="1" ht="25.5">
      <c r="A39" s="50">
        <v>27</v>
      </c>
      <c r="B39" s="54" t="s">
        <v>60</v>
      </c>
      <c r="C39" s="66">
        <v>806.99989738726981</v>
      </c>
      <c r="D39" s="66">
        <v>586.66591700000004</v>
      </c>
      <c r="E39" s="66">
        <v>5999.9397970152622</v>
      </c>
      <c r="F39" s="66">
        <v>5371.5325547153852</v>
      </c>
      <c r="G39" s="55">
        <f t="shared" si="4"/>
        <v>2.7085548560517619E-2</v>
      </c>
      <c r="H39" s="55">
        <f t="shared" si="1"/>
        <v>0.1169884452712162</v>
      </c>
    </row>
    <row r="40" spans="1:8" s="4" customFormat="1" ht="25.5">
      <c r="A40" s="50">
        <v>28</v>
      </c>
      <c r="B40" s="54" t="s">
        <v>61</v>
      </c>
      <c r="C40" s="66">
        <v>180.29346539239472</v>
      </c>
      <c r="D40" s="66">
        <v>117.14950864637898</v>
      </c>
      <c r="E40" s="66">
        <v>1357.7740684810253</v>
      </c>
      <c r="F40" s="66">
        <v>1081.0904818372071</v>
      </c>
      <c r="G40" s="55">
        <f t="shared" si="4"/>
        <v>6.1294040790791015E-3</v>
      </c>
      <c r="H40" s="55">
        <f t="shared" si="1"/>
        <v>0.25593009215437884</v>
      </c>
    </row>
    <row r="41" spans="1:8" s="4" customFormat="1" ht="25.5">
      <c r="A41" s="50">
        <v>29</v>
      </c>
      <c r="B41" s="54" t="s">
        <v>62</v>
      </c>
      <c r="C41" s="66">
        <v>738.02698581915899</v>
      </c>
      <c r="D41" s="66">
        <v>501.78521675899992</v>
      </c>
      <c r="E41" s="66">
        <v>4900.7732790979535</v>
      </c>
      <c r="F41" s="66">
        <v>4156.2331240000003</v>
      </c>
      <c r="G41" s="55">
        <f t="shared" si="4"/>
        <v>2.2123577423414791E-2</v>
      </c>
      <c r="H41" s="55">
        <f t="shared" si="1"/>
        <v>0.17913820829698798</v>
      </c>
    </row>
    <row r="42" spans="1:8" s="4" customFormat="1" ht="25.5">
      <c r="A42" s="50"/>
      <c r="B42" s="54" t="s">
        <v>63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44">
        <v>0</v>
      </c>
    </row>
    <row r="43" spans="1:8" s="4" customFormat="1" ht="25.5">
      <c r="A43" s="50">
        <v>30</v>
      </c>
      <c r="B43" s="54" t="s">
        <v>64</v>
      </c>
      <c r="C43" s="66">
        <v>1459.9095776413997</v>
      </c>
      <c r="D43" s="66">
        <v>1220.58</v>
      </c>
      <c r="E43" s="66">
        <v>10926.32182832798</v>
      </c>
      <c r="F43" s="66">
        <v>10218.5363366</v>
      </c>
      <c r="G43" s="55">
        <f t="shared" si="4"/>
        <v>4.9324731660848088E-2</v>
      </c>
      <c r="H43" s="55">
        <f t="shared" si="1"/>
        <v>6.9264860290498373E-2</v>
      </c>
    </row>
    <row r="44" spans="1:8" s="4" customFormat="1" ht="25.5">
      <c r="A44" s="50">
        <v>31</v>
      </c>
      <c r="B44" s="54" t="s">
        <v>89</v>
      </c>
      <c r="C44" s="66">
        <v>12.228967567367434</v>
      </c>
      <c r="D44" s="66">
        <v>0.16</v>
      </c>
      <c r="E44" s="66">
        <v>22.594629907450763</v>
      </c>
      <c r="F44" s="66">
        <v>0.38018189999999996</v>
      </c>
      <c r="G44" s="55">
        <f t="shared" si="4"/>
        <v>1.019990143683811E-4</v>
      </c>
      <c r="H44" s="55">
        <f t="shared" si="1"/>
        <v>58.431103657093523</v>
      </c>
    </row>
    <row r="45" spans="1:8" s="4" customFormat="1" ht="25.5">
      <c r="A45" s="50">
        <v>32</v>
      </c>
      <c r="B45" s="54" t="s">
        <v>91</v>
      </c>
      <c r="C45" s="66">
        <v>11.411960632146897</v>
      </c>
      <c r="D45" s="66">
        <v>0.6075695596666667</v>
      </c>
      <c r="E45" s="66">
        <v>61.917152580881336</v>
      </c>
      <c r="F45" s="66">
        <v>0.72717592774576278</v>
      </c>
      <c r="G45" s="55">
        <f t="shared" si="4"/>
        <v>2.7951281174399661E-4</v>
      </c>
      <c r="H45" s="44">
        <v>0</v>
      </c>
    </row>
    <row r="46" spans="1:8" s="4" customFormat="1" ht="25.5">
      <c r="A46" s="50"/>
      <c r="B46" s="56" t="s">
        <v>65</v>
      </c>
      <c r="C46" s="49">
        <f>SUM(C38:C45)</f>
        <v>3709.7713084097663</v>
      </c>
      <c r="D46" s="49">
        <f>SUM(D38:D45)</f>
        <v>2725.2562248650452</v>
      </c>
      <c r="E46" s="49">
        <f>SUM(E38:E45)</f>
        <v>27026.99532128574</v>
      </c>
      <c r="F46" s="49">
        <f>SUM(F38:F45)</f>
        <v>23645.731557477829</v>
      </c>
      <c r="G46" s="57">
        <f t="shared" ref="G46" si="5">E46/$E$99</f>
        <v>0.12200805657812258</v>
      </c>
      <c r="H46" s="58">
        <f t="shared" si="1"/>
        <v>0.14299679227892634</v>
      </c>
    </row>
    <row r="47" spans="1:8" s="4" customFormat="1" ht="25.5">
      <c r="A47" s="50">
        <v>33</v>
      </c>
      <c r="B47" s="54" t="s">
        <v>66</v>
      </c>
      <c r="C47" s="66">
        <v>654.84741185900032</v>
      </c>
      <c r="D47" s="66">
        <v>502.4817620833</v>
      </c>
      <c r="E47" s="66">
        <v>7670.8007860039725</v>
      </c>
      <c r="F47" s="66">
        <v>6079.3273360732992</v>
      </c>
      <c r="G47" s="55">
        <f>E47/$E$50</f>
        <v>3.462832198595122E-2</v>
      </c>
      <c r="H47" s="55">
        <f t="shared" ref="H47:H50" si="6">((E47-F47)/F47)</f>
        <v>0.26178446429216667</v>
      </c>
    </row>
    <row r="48" spans="1:8" s="4" customFormat="1" ht="25.5">
      <c r="A48" s="50">
        <v>34</v>
      </c>
      <c r="B48" s="54" t="s">
        <v>67</v>
      </c>
      <c r="C48" s="66">
        <v>114.08</v>
      </c>
      <c r="D48" s="66">
        <v>111.9</v>
      </c>
      <c r="E48" s="66">
        <v>891.37</v>
      </c>
      <c r="F48" s="66">
        <v>829.81999999999994</v>
      </c>
      <c r="G48" s="55">
        <f>E48/$E$50</f>
        <v>4.0239146120097605E-3</v>
      </c>
      <c r="H48" s="55">
        <f t="shared" si="6"/>
        <v>7.4172712154443224E-2</v>
      </c>
    </row>
    <row r="49" spans="1:8" s="4" customFormat="1" ht="26.25">
      <c r="A49" s="59"/>
      <c r="B49" s="56" t="s">
        <v>68</v>
      </c>
      <c r="C49" s="51">
        <f>SUM(C47:C48)</f>
        <v>768.92741185900036</v>
      </c>
      <c r="D49" s="51">
        <f t="shared" ref="D49:F49" si="7">SUM(D47:D48)</f>
        <v>614.38176208330003</v>
      </c>
      <c r="E49" s="51">
        <f t="shared" si="7"/>
        <v>8562.1707860039733</v>
      </c>
      <c r="F49" s="51">
        <f t="shared" si="7"/>
        <v>6909.1473360732989</v>
      </c>
      <c r="G49" s="57">
        <f>E49/$E$99</f>
        <v>3.8652236597960986E-2</v>
      </c>
      <c r="H49" s="57">
        <f t="shared" si="6"/>
        <v>0.23925144008727178</v>
      </c>
    </row>
    <row r="50" spans="1:8" s="4" customFormat="1" ht="26.25">
      <c r="A50" s="59"/>
      <c r="B50" s="56" t="s">
        <v>69</v>
      </c>
      <c r="C50" s="53">
        <f>(C37+C46+C49)</f>
        <v>26896.163249331938</v>
      </c>
      <c r="D50" s="53">
        <f t="shared" ref="D50:F50" si="8">(D37+D46+D49)</f>
        <v>21649.264445906971</v>
      </c>
      <c r="E50" s="53">
        <f t="shared" si="8"/>
        <v>221518.12002660803</v>
      </c>
      <c r="F50" s="53">
        <f t="shared" si="8"/>
        <v>205131.91498266312</v>
      </c>
      <c r="G50" s="57">
        <f>E50/$E$99</f>
        <v>1</v>
      </c>
      <c r="H50" s="57">
        <f t="shared" si="6"/>
        <v>7.9881304892657976E-2</v>
      </c>
    </row>
    <row r="51" spans="1:8" s="6" customFormat="1" ht="20.100000000000001" customHeight="1">
      <c r="A51" s="67" t="s">
        <v>70</v>
      </c>
      <c r="B51" s="67"/>
      <c r="C51" s="67"/>
      <c r="D51" s="67"/>
      <c r="E51" s="28"/>
      <c r="F51" s="28"/>
      <c r="G51" s="29"/>
      <c r="H51" s="30"/>
    </row>
    <row r="52" spans="1:8" s="6" customFormat="1" ht="20.100000000000001" customHeight="1">
      <c r="A52" s="68" t="s">
        <v>71</v>
      </c>
      <c r="B52" s="68"/>
      <c r="C52" s="68"/>
      <c r="D52" s="68"/>
      <c r="E52" s="68"/>
      <c r="F52" s="68"/>
      <c r="G52" s="68"/>
      <c r="H52" s="68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9" t="s">
        <v>72</v>
      </c>
      <c r="B54" s="69"/>
      <c r="C54" s="69"/>
      <c r="D54" s="69"/>
      <c r="E54" s="69"/>
      <c r="F54" s="69"/>
      <c r="G54" s="69"/>
      <c r="H54" s="69"/>
    </row>
    <row r="55" spans="1:8" s="2" customFormat="1" ht="38.1" customHeight="1">
      <c r="A55" s="70" t="s">
        <v>87</v>
      </c>
      <c r="B55" s="70"/>
      <c r="C55" s="70"/>
      <c r="D55" s="70"/>
      <c r="E55" s="70"/>
      <c r="F55" s="70"/>
      <c r="G55" s="70"/>
      <c r="H55" s="70"/>
    </row>
    <row r="56" spans="1:8" s="2" customFormat="1" ht="38.1" customHeight="1">
      <c r="A56" s="71" t="s">
        <v>98</v>
      </c>
      <c r="B56" s="71"/>
      <c r="C56" s="71"/>
      <c r="D56" s="71"/>
      <c r="E56" s="71"/>
      <c r="F56" s="71"/>
      <c r="G56" s="71"/>
      <c r="H56" s="71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0" t="s">
        <v>73</v>
      </c>
      <c r="D58" s="80"/>
      <c r="E58" s="80"/>
      <c r="F58" s="80"/>
      <c r="G58" s="81" t="s">
        <v>101</v>
      </c>
      <c r="H58" s="81" t="s">
        <v>74</v>
      </c>
    </row>
    <row r="59" spans="1:8" s="4" customFormat="1" ht="33" customHeight="1">
      <c r="A59" s="82" t="s">
        <v>75</v>
      </c>
      <c r="B59" s="83" t="s">
        <v>76</v>
      </c>
      <c r="C59" s="84" t="s">
        <v>99</v>
      </c>
      <c r="D59" s="84"/>
      <c r="E59" s="84" t="s">
        <v>100</v>
      </c>
      <c r="F59" s="84"/>
      <c r="G59" s="81"/>
      <c r="H59" s="81"/>
    </row>
    <row r="60" spans="1:8" s="36" customFormat="1" ht="70.5" customHeight="1">
      <c r="A60" s="82" t="s">
        <v>75</v>
      </c>
      <c r="B60" s="83"/>
      <c r="C60" s="35" t="s">
        <v>94</v>
      </c>
      <c r="D60" s="35" t="s">
        <v>0</v>
      </c>
      <c r="E60" s="60" t="s">
        <v>94</v>
      </c>
      <c r="F60" s="60" t="s">
        <v>0</v>
      </c>
      <c r="G60" s="81"/>
      <c r="H60" s="81"/>
    </row>
    <row r="61" spans="1:8" s="4" customFormat="1" ht="24.75" customHeight="1">
      <c r="A61" s="42">
        <v>1</v>
      </c>
      <c r="B61" s="43" t="s">
        <v>20</v>
      </c>
      <c r="C61" s="66">
        <v>233.49100000000001</v>
      </c>
      <c r="D61" s="66">
        <v>175.91180159999996</v>
      </c>
      <c r="E61" s="66">
        <v>1640.8856820000001</v>
      </c>
      <c r="F61" s="66">
        <v>1383.287290397273</v>
      </c>
      <c r="G61" s="45">
        <f t="shared" ref="G61:G98" si="9">E61/$E$99</f>
        <v>7.4074557955028791E-3</v>
      </c>
      <c r="H61" s="45">
        <f t="shared" ref="H61:H85" si="10">((E61-F61)/F61)</f>
        <v>0.18622190299221661</v>
      </c>
    </row>
    <row r="62" spans="1:8" s="4" customFormat="1" ht="24.75" customHeight="1">
      <c r="A62" s="42">
        <v>2</v>
      </c>
      <c r="B62" s="43" t="s">
        <v>97</v>
      </c>
      <c r="C62" s="66">
        <v>3999.3818644000003</v>
      </c>
      <c r="D62" s="66">
        <v>1364.6713921000003</v>
      </c>
      <c r="E62" s="66">
        <v>17463.846414300002</v>
      </c>
      <c r="F62" s="66">
        <v>15781.544087600003</v>
      </c>
      <c r="G62" s="45">
        <f t="shared" si="9"/>
        <v>7.8837101056122641E-2</v>
      </c>
      <c r="H62" s="45">
        <f t="shared" si="10"/>
        <v>0.10659934904733628</v>
      </c>
    </row>
    <row r="63" spans="1:8" s="4" customFormat="1" ht="24.75" customHeight="1">
      <c r="A63" s="42">
        <v>3</v>
      </c>
      <c r="B63" s="43" t="s">
        <v>13</v>
      </c>
      <c r="C63" s="66">
        <v>640.52006792615896</v>
      </c>
      <c r="D63" s="66">
        <v>633.23473612957991</v>
      </c>
      <c r="E63" s="66">
        <v>5063.176160956159</v>
      </c>
      <c r="F63" s="66">
        <v>5460.6136410168529</v>
      </c>
      <c r="G63" s="45">
        <f t="shared" si="9"/>
        <v>2.285671330339923E-2</v>
      </c>
      <c r="H63" s="45">
        <f t="shared" si="10"/>
        <v>-7.2782567342868199E-2</v>
      </c>
    </row>
    <row r="64" spans="1:8" s="4" customFormat="1" ht="24.75" customHeight="1">
      <c r="A64" s="42">
        <v>4</v>
      </c>
      <c r="B64" s="43" t="s">
        <v>95</v>
      </c>
      <c r="C64" s="66">
        <v>442.44531996688011</v>
      </c>
      <c r="D64" s="66">
        <v>270.8000139763962</v>
      </c>
      <c r="E64" s="66">
        <v>3452.8520423694554</v>
      </c>
      <c r="F64" s="66">
        <v>3480.1823398396223</v>
      </c>
      <c r="G64" s="45">
        <f t="shared" si="9"/>
        <v>1.558722167719151E-2</v>
      </c>
      <c r="H64" s="45">
        <f t="shared" si="10"/>
        <v>-7.8531222796292804E-3</v>
      </c>
    </row>
    <row r="65" spans="1:10" s="4" customFormat="1" ht="24.75" customHeight="1">
      <c r="A65" s="42">
        <v>5</v>
      </c>
      <c r="B65" s="43" t="s">
        <v>11</v>
      </c>
      <c r="C65" s="66">
        <v>780.78928240000005</v>
      </c>
      <c r="D65" s="66">
        <v>650.61043071799998</v>
      </c>
      <c r="E65" s="66">
        <v>6666.6227559999998</v>
      </c>
      <c r="F65" s="66">
        <v>5855.0456193059999</v>
      </c>
      <c r="G65" s="45">
        <f t="shared" si="9"/>
        <v>3.0095157701768266E-2</v>
      </c>
      <c r="H65" s="45">
        <f t="shared" si="10"/>
        <v>0.13861158212294106</v>
      </c>
    </row>
    <row r="66" spans="1:10" s="4" customFormat="1" ht="24.75" customHeight="1">
      <c r="A66" s="42">
        <v>6</v>
      </c>
      <c r="B66" s="43" t="s">
        <v>6</v>
      </c>
      <c r="C66" s="66">
        <v>1081.0514398710723</v>
      </c>
      <c r="D66" s="66">
        <v>935.99688440886996</v>
      </c>
      <c r="E66" s="66">
        <v>9696.7965060156039</v>
      </c>
      <c r="F66" s="66">
        <v>11266.45137384287</v>
      </c>
      <c r="G66" s="45">
        <f t="shared" si="9"/>
        <v>4.3774281331255688E-2</v>
      </c>
      <c r="H66" s="45">
        <f t="shared" si="10"/>
        <v>-0.13932114165703566</v>
      </c>
    </row>
    <row r="67" spans="1:10" s="4" customFormat="1" ht="24.75" customHeight="1">
      <c r="A67" s="42">
        <v>7</v>
      </c>
      <c r="B67" s="43" t="s">
        <v>2</v>
      </c>
      <c r="C67" s="66">
        <v>2187</v>
      </c>
      <c r="D67" s="66">
        <v>2036.77</v>
      </c>
      <c r="E67" s="66">
        <v>19094.37636719799</v>
      </c>
      <c r="F67" s="66">
        <v>18660.620000000003</v>
      </c>
      <c r="G67" s="45">
        <f t="shared" si="9"/>
        <v>8.6197807948642929E-2</v>
      </c>
      <c r="H67" s="45">
        <f t="shared" si="10"/>
        <v>2.3244477793234512E-2</v>
      </c>
    </row>
    <row r="68" spans="1:10" s="4" customFormat="1" ht="24.75" customHeight="1">
      <c r="A68" s="42">
        <v>8</v>
      </c>
      <c r="B68" s="43" t="s">
        <v>14</v>
      </c>
      <c r="C68" s="66">
        <v>636.62936313700004</v>
      </c>
      <c r="D68" s="66">
        <v>687.85969003799994</v>
      </c>
      <c r="E68" s="66">
        <v>5832.2943619757834</v>
      </c>
      <c r="F68" s="66">
        <v>5586.3108597839991</v>
      </c>
      <c r="G68" s="45">
        <f t="shared" si="9"/>
        <v>2.6328746204939024E-2</v>
      </c>
      <c r="H68" s="45">
        <f t="shared" si="10"/>
        <v>4.4033264235727745E-2</v>
      </c>
    </row>
    <row r="69" spans="1:10" s="4" customFormat="1" ht="24.75" customHeight="1">
      <c r="A69" s="42">
        <v>9</v>
      </c>
      <c r="B69" s="43" t="s">
        <v>23</v>
      </c>
      <c r="C69" s="66">
        <v>3.5534263304983154</v>
      </c>
      <c r="D69" s="66">
        <v>9.9179830400000011</v>
      </c>
      <c r="E69" s="66">
        <v>524.54930624662677</v>
      </c>
      <c r="F69" s="66">
        <v>709.96485890400004</v>
      </c>
      <c r="G69" s="45">
        <f t="shared" si="9"/>
        <v>2.367974710979037E-3</v>
      </c>
      <c r="H69" s="45">
        <f t="shared" si="10"/>
        <v>-0.2611615917773823</v>
      </c>
    </row>
    <row r="70" spans="1:10" s="4" customFormat="1" ht="24.75" customHeight="1">
      <c r="A70" s="42">
        <v>10</v>
      </c>
      <c r="B70" s="43" t="s">
        <v>19</v>
      </c>
      <c r="C70" s="66">
        <v>231.44251022537037</v>
      </c>
      <c r="D70" s="66">
        <v>171.128696084995</v>
      </c>
      <c r="E70" s="66">
        <v>1861.237127156975</v>
      </c>
      <c r="F70" s="66">
        <v>1547.9201052198669</v>
      </c>
      <c r="G70" s="45">
        <f t="shared" si="9"/>
        <v>8.402189071184828E-3</v>
      </c>
      <c r="H70" s="45">
        <f t="shared" si="10"/>
        <v>0.20241162375276764</v>
      </c>
    </row>
    <row r="71" spans="1:10" s="4" customFormat="1" ht="24.75" customHeight="1">
      <c r="A71" s="42">
        <v>11</v>
      </c>
      <c r="B71" s="43" t="s">
        <v>92</v>
      </c>
      <c r="C71" s="66">
        <v>275.14276618859685</v>
      </c>
      <c r="D71" s="66">
        <v>228.57621165256253</v>
      </c>
      <c r="E71" s="66">
        <v>2248.6468849772382</v>
      </c>
      <c r="F71" s="66">
        <v>2019.5922235200364</v>
      </c>
      <c r="G71" s="45">
        <f t="shared" si="9"/>
        <v>1.0151074253912673E-2</v>
      </c>
      <c r="H71" s="45">
        <f t="shared" si="10"/>
        <v>0.11341629205621136</v>
      </c>
    </row>
    <row r="72" spans="1:10" s="4" customFormat="1" ht="24.75" customHeight="1">
      <c r="A72" s="42">
        <v>12</v>
      </c>
      <c r="B72" s="43" t="s">
        <v>7</v>
      </c>
      <c r="C72" s="66">
        <v>1069.57</v>
      </c>
      <c r="D72" s="66">
        <v>1421.71</v>
      </c>
      <c r="E72" s="66">
        <v>12196.99</v>
      </c>
      <c r="F72" s="66">
        <v>11773.84</v>
      </c>
      <c r="G72" s="45">
        <f t="shared" si="9"/>
        <v>5.5060913294745086E-2</v>
      </c>
      <c r="H72" s="45">
        <f t="shared" si="10"/>
        <v>3.593984630333006E-2</v>
      </c>
      <c r="J72" s="61"/>
    </row>
    <row r="73" spans="1:10" s="4" customFormat="1" ht="24.75" customHeight="1">
      <c r="A73" s="42">
        <v>13</v>
      </c>
      <c r="B73" s="43" t="s">
        <v>27</v>
      </c>
      <c r="C73" s="66">
        <v>8.8657129999999995</v>
      </c>
      <c r="D73" s="66">
        <v>5.1989913879998495</v>
      </c>
      <c r="E73" s="66">
        <v>69.368614892404977</v>
      </c>
      <c r="F73" s="66">
        <v>37.011634342507186</v>
      </c>
      <c r="G73" s="45">
        <f t="shared" si="9"/>
        <v>3.1315097331122458E-4</v>
      </c>
      <c r="H73" s="45">
        <f t="shared" si="10"/>
        <v>0.87423809093283922</v>
      </c>
    </row>
    <row r="74" spans="1:10" s="4" customFormat="1" ht="24.75" customHeight="1">
      <c r="A74" s="42">
        <v>14</v>
      </c>
      <c r="B74" s="43" t="s">
        <v>26</v>
      </c>
      <c r="C74" s="66">
        <v>29.072692466833335</v>
      </c>
      <c r="D74" s="66">
        <v>16.851500848500475</v>
      </c>
      <c r="E74" s="66">
        <v>148.04427667535717</v>
      </c>
      <c r="F74" s="66">
        <v>297.27963405050457</v>
      </c>
      <c r="G74" s="45">
        <f t="shared" si="9"/>
        <v>6.6831677994366593E-4</v>
      </c>
      <c r="H74" s="45">
        <f t="shared" si="10"/>
        <v>-0.50200330019847217</v>
      </c>
    </row>
    <row r="75" spans="1:10" s="4" customFormat="1" ht="24.75" customHeight="1">
      <c r="A75" s="42">
        <v>15</v>
      </c>
      <c r="B75" s="43" t="s">
        <v>9</v>
      </c>
      <c r="C75" s="66">
        <v>935.35948309668788</v>
      </c>
      <c r="D75" s="66">
        <v>1033.339226489393</v>
      </c>
      <c r="E75" s="66">
        <v>8909.4973790794302</v>
      </c>
      <c r="F75" s="66">
        <v>9270.1324302134235</v>
      </c>
      <c r="G75" s="45">
        <f t="shared" si="9"/>
        <v>4.0220174214232456E-2</v>
      </c>
      <c r="H75" s="45">
        <f t="shared" si="10"/>
        <v>-3.89029017491275E-2</v>
      </c>
    </row>
    <row r="76" spans="1:10" s="4" customFormat="1" ht="24.75" customHeight="1">
      <c r="A76" s="42">
        <v>16</v>
      </c>
      <c r="B76" s="43" t="s">
        <v>17</v>
      </c>
      <c r="C76" s="66">
        <v>317.94990406262286</v>
      </c>
      <c r="D76" s="66">
        <v>290.79982626466881</v>
      </c>
      <c r="E76" s="66">
        <v>2852.9271172647523</v>
      </c>
      <c r="F76" s="66">
        <v>2530.6769285190971</v>
      </c>
      <c r="G76" s="45">
        <f t="shared" si="9"/>
        <v>1.2878978554540225E-2</v>
      </c>
      <c r="H76" s="45">
        <f t="shared" si="10"/>
        <v>0.12733754558478141</v>
      </c>
    </row>
    <row r="77" spans="1:10" s="4" customFormat="1" ht="24.75" customHeight="1">
      <c r="A77" s="42">
        <v>17</v>
      </c>
      <c r="B77" s="43" t="s">
        <v>10</v>
      </c>
      <c r="C77" s="66">
        <v>1132.6099364477213</v>
      </c>
      <c r="D77" s="66">
        <v>836.69278710000003</v>
      </c>
      <c r="E77" s="66">
        <v>9509.3848585549949</v>
      </c>
      <c r="F77" s="66">
        <v>8385.5388301330804</v>
      </c>
      <c r="G77" s="45">
        <f t="shared" si="9"/>
        <v>4.2928248295953209E-2</v>
      </c>
      <c r="H77" s="45">
        <f t="shared" si="10"/>
        <v>0.13402192169016272</v>
      </c>
    </row>
    <row r="78" spans="1:10" s="4" customFormat="1" ht="24.75" customHeight="1">
      <c r="A78" s="42">
        <v>18</v>
      </c>
      <c r="B78" s="43" t="s">
        <v>18</v>
      </c>
      <c r="C78" s="66">
        <v>402.55255728399982</v>
      </c>
      <c r="D78" s="66">
        <v>344.30302563200019</v>
      </c>
      <c r="E78" s="66">
        <v>2881.8850953830001</v>
      </c>
      <c r="F78" s="66">
        <v>2302.4110097880002</v>
      </c>
      <c r="G78" s="45">
        <f t="shared" si="9"/>
        <v>1.3009703653303114E-2</v>
      </c>
      <c r="H78" s="45">
        <f t="shared" si="10"/>
        <v>0.25168142574524793</v>
      </c>
    </row>
    <row r="79" spans="1:10" s="4" customFormat="1" ht="24.75" customHeight="1">
      <c r="A79" s="63">
        <v>19</v>
      </c>
      <c r="B79" s="64" t="s">
        <v>5</v>
      </c>
      <c r="C79" s="66">
        <v>1624.4547901400001</v>
      </c>
      <c r="D79" s="66">
        <v>1290.4727582350001</v>
      </c>
      <c r="E79" s="66">
        <v>13299.99979688169</v>
      </c>
      <c r="F79" s="66">
        <v>11739.832175308524</v>
      </c>
      <c r="G79" s="65">
        <f t="shared" si="9"/>
        <v>6.0040234159102368E-2</v>
      </c>
      <c r="H79" s="65">
        <f t="shared" si="10"/>
        <v>0.13289522356670014</v>
      </c>
    </row>
    <row r="80" spans="1:10" s="4" customFormat="1" ht="24.75" customHeight="1">
      <c r="A80" s="63">
        <v>20</v>
      </c>
      <c r="B80" s="64" t="s">
        <v>1</v>
      </c>
      <c r="C80" s="66">
        <v>2780.9301189999996</v>
      </c>
      <c r="D80" s="66">
        <v>2510.1843958999998</v>
      </c>
      <c r="E80" s="66">
        <v>28434.280671500001</v>
      </c>
      <c r="F80" s="66">
        <v>25104.6531287</v>
      </c>
      <c r="G80" s="65">
        <f t="shared" si="9"/>
        <v>0.12836096960413246</v>
      </c>
      <c r="H80" s="65">
        <f t="shared" si="10"/>
        <v>0.13262989636743966</v>
      </c>
    </row>
    <row r="81" spans="1:10" s="4" customFormat="1" ht="24.75" customHeight="1">
      <c r="A81" s="63">
        <v>21</v>
      </c>
      <c r="B81" s="64" t="s">
        <v>4</v>
      </c>
      <c r="C81" s="66">
        <v>1453.7471</v>
      </c>
      <c r="D81" s="66">
        <v>1474.0982999999999</v>
      </c>
      <c r="E81" s="66">
        <v>14178.5826</v>
      </c>
      <c r="F81" s="66">
        <v>13012.038200000001</v>
      </c>
      <c r="G81" s="65">
        <f t="shared" si="9"/>
        <v>6.4006423484891051E-2</v>
      </c>
      <c r="H81" s="65">
        <f t="shared" si="10"/>
        <v>8.965116625618258E-2</v>
      </c>
      <c r="J81" s="61"/>
    </row>
    <row r="82" spans="1:10" s="4" customFormat="1" ht="24.75" customHeight="1">
      <c r="A82" s="63">
        <v>22</v>
      </c>
      <c r="B82" s="64" t="s">
        <v>3</v>
      </c>
      <c r="C82" s="66">
        <v>1357.07</v>
      </c>
      <c r="D82" s="66">
        <v>1279.03</v>
      </c>
      <c r="E82" s="66">
        <v>13882.43</v>
      </c>
      <c r="F82" s="66">
        <v>12866.550000000001</v>
      </c>
      <c r="G82" s="65">
        <f t="shared" si="9"/>
        <v>6.2669500798997788E-2</v>
      </c>
      <c r="H82" s="65">
        <f t="shared" si="10"/>
        <v>7.8955120059378714E-2</v>
      </c>
    </row>
    <row r="83" spans="1:10" s="4" customFormat="1" ht="24.75" customHeight="1">
      <c r="A83" s="63">
        <v>23</v>
      </c>
      <c r="B83" s="64" t="s">
        <v>15</v>
      </c>
      <c r="C83" s="66">
        <v>538.60081084366743</v>
      </c>
      <c r="D83" s="66">
        <v>421.24654198531385</v>
      </c>
      <c r="E83" s="66">
        <v>3931.4174571296417</v>
      </c>
      <c r="F83" s="66">
        <v>3625.5714039413133</v>
      </c>
      <c r="G83" s="65">
        <f t="shared" si="9"/>
        <v>1.7747611150985811E-2</v>
      </c>
      <c r="H83" s="65">
        <f t="shared" si="10"/>
        <v>8.4358027773455774E-2</v>
      </c>
    </row>
    <row r="84" spans="1:10" s="4" customFormat="1" ht="24.75" customHeight="1">
      <c r="A84" s="42">
        <v>24</v>
      </c>
      <c r="B84" s="43" t="s">
        <v>24</v>
      </c>
      <c r="C84" s="66">
        <v>108.04</v>
      </c>
      <c r="D84" s="66">
        <v>76.67</v>
      </c>
      <c r="E84" s="66">
        <v>726.27</v>
      </c>
      <c r="F84" s="66">
        <v>640.62999999999988</v>
      </c>
      <c r="G84" s="45">
        <f t="shared" si="9"/>
        <v>3.2786031224568122E-3</v>
      </c>
      <c r="H84" s="45">
        <f t="shared" si="10"/>
        <v>0.13368090785632911</v>
      </c>
    </row>
    <row r="85" spans="1:10" s="4" customFormat="1" ht="24.75" customHeight="1">
      <c r="A85" s="42">
        <v>25</v>
      </c>
      <c r="B85" s="43" t="s">
        <v>85</v>
      </c>
      <c r="C85" s="66">
        <v>147.1943822760571</v>
      </c>
      <c r="D85" s="66">
        <v>143.55126536734355</v>
      </c>
      <c r="E85" s="66">
        <v>1362.5924427612731</v>
      </c>
      <c r="F85" s="66">
        <v>1239.3383146850051</v>
      </c>
      <c r="G85" s="45">
        <f t="shared" si="9"/>
        <v>6.1511556824227426E-3</v>
      </c>
      <c r="H85" s="45">
        <f t="shared" si="10"/>
        <v>9.94515594457311E-2</v>
      </c>
    </row>
    <row r="86" spans="1:10" s="4" customFormat="1" ht="24.75" customHeight="1">
      <c r="A86" s="42"/>
      <c r="B86" s="46" t="s">
        <v>77</v>
      </c>
      <c r="C86" s="47">
        <f>SUM(C61:C85)</f>
        <v>22417.464529063171</v>
      </c>
      <c r="D86" s="47">
        <f>SUM(D61:D85)</f>
        <v>18309.626458958624</v>
      </c>
      <c r="E86" s="47">
        <f>SUM(E61:E85)</f>
        <v>185928.95391931833</v>
      </c>
      <c r="F86" s="47">
        <f>SUM(F61:F85)</f>
        <v>174577.03608911199</v>
      </c>
      <c r="G86" s="48">
        <f t="shared" si="9"/>
        <v>0.83933970682391656</v>
      </c>
      <c r="H86" s="48">
        <f t="shared" ref="H86" si="11">((E86-F86)/F86)</f>
        <v>6.5025263829154523E-2</v>
      </c>
    </row>
    <row r="87" spans="1:10" s="4" customFormat="1" ht="24.75" customHeight="1">
      <c r="A87" s="42">
        <v>26</v>
      </c>
      <c r="B87" s="43" t="s">
        <v>16</v>
      </c>
      <c r="C87" s="66">
        <v>500.90045397002899</v>
      </c>
      <c r="D87" s="66">
        <v>298.30801289999999</v>
      </c>
      <c r="E87" s="66">
        <v>3757.6745658751888</v>
      </c>
      <c r="F87" s="66">
        <v>2817.2317024974896</v>
      </c>
      <c r="G87" s="45">
        <f t="shared" si="9"/>
        <v>1.6963283028150606E-2</v>
      </c>
      <c r="H87" s="45">
        <f>((E87-F87)/F87)</f>
        <v>0.33381807486547599</v>
      </c>
    </row>
    <row r="88" spans="1:10" s="5" customFormat="1" ht="24.75" customHeight="1">
      <c r="A88" s="42">
        <v>27</v>
      </c>
      <c r="B88" s="43" t="s">
        <v>12</v>
      </c>
      <c r="C88" s="66">
        <v>806.99989738726981</v>
      </c>
      <c r="D88" s="66">
        <v>586.66591700000004</v>
      </c>
      <c r="E88" s="66">
        <v>5999.9397970152622</v>
      </c>
      <c r="F88" s="66">
        <v>5371.5325547153852</v>
      </c>
      <c r="G88" s="45">
        <f t="shared" si="9"/>
        <v>2.7085548560517619E-2</v>
      </c>
      <c r="H88" s="45">
        <f t="shared" ref="H88:H93" si="12">((E88-F88)/F88)</f>
        <v>0.1169884452712162</v>
      </c>
    </row>
    <row r="89" spans="1:10" s="4" customFormat="1" ht="24.75" customHeight="1">
      <c r="A89" s="42">
        <v>28</v>
      </c>
      <c r="B89" s="43" t="s">
        <v>21</v>
      </c>
      <c r="C89" s="66">
        <v>180.29346539239472</v>
      </c>
      <c r="D89" s="66">
        <v>117.14950864637898</v>
      </c>
      <c r="E89" s="66">
        <v>1357.7740684810253</v>
      </c>
      <c r="F89" s="66">
        <v>1081.0904818372071</v>
      </c>
      <c r="G89" s="45">
        <f t="shared" si="9"/>
        <v>6.1294040790791015E-3</v>
      </c>
      <c r="H89" s="45">
        <f t="shared" si="12"/>
        <v>0.25593009215437884</v>
      </c>
    </row>
    <row r="90" spans="1:10" s="4" customFormat="1" ht="24.75" customHeight="1">
      <c r="A90" s="42">
        <v>29</v>
      </c>
      <c r="B90" s="43" t="s">
        <v>78</v>
      </c>
      <c r="C90" s="66">
        <v>738.02698581915899</v>
      </c>
      <c r="D90" s="66">
        <v>501.78521675899992</v>
      </c>
      <c r="E90" s="66">
        <v>4900.7732790979535</v>
      </c>
      <c r="F90" s="66">
        <v>4156.2331240000003</v>
      </c>
      <c r="G90" s="45">
        <f t="shared" si="9"/>
        <v>2.2123577423414791E-2</v>
      </c>
      <c r="H90" s="45">
        <f t="shared" si="12"/>
        <v>0.17913820829698798</v>
      </c>
    </row>
    <row r="91" spans="1:10" s="4" customFormat="1" ht="24.75" customHeight="1">
      <c r="A91" s="42"/>
      <c r="B91" s="43" t="s">
        <v>79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44">
        <v>0</v>
      </c>
    </row>
    <row r="92" spans="1:10" s="4" customFormat="1" ht="24.75" customHeight="1">
      <c r="A92" s="42">
        <v>30</v>
      </c>
      <c r="B92" s="43" t="s">
        <v>8</v>
      </c>
      <c r="C92" s="66">
        <v>1459.9095776413997</v>
      </c>
      <c r="D92" s="66">
        <v>1220.58</v>
      </c>
      <c r="E92" s="66">
        <v>10926.32182832798</v>
      </c>
      <c r="F92" s="66">
        <v>10218.5363366</v>
      </c>
      <c r="G92" s="45">
        <f t="shared" si="9"/>
        <v>4.9324731660848088E-2</v>
      </c>
      <c r="H92" s="45">
        <f t="shared" si="12"/>
        <v>6.9264860290498373E-2</v>
      </c>
    </row>
    <row r="93" spans="1:10" s="4" customFormat="1" ht="24.75" customHeight="1">
      <c r="A93" s="42">
        <v>31</v>
      </c>
      <c r="B93" s="43" t="s">
        <v>88</v>
      </c>
      <c r="C93" s="66">
        <v>12.228967567367434</v>
      </c>
      <c r="D93" s="66">
        <v>0.16</v>
      </c>
      <c r="E93" s="66">
        <v>22.594629907450763</v>
      </c>
      <c r="F93" s="66">
        <v>0.38018189999999996</v>
      </c>
      <c r="G93" s="45">
        <f t="shared" si="9"/>
        <v>1.019990143683811E-4</v>
      </c>
      <c r="H93" s="45">
        <f t="shared" si="12"/>
        <v>58.431103657093523</v>
      </c>
    </row>
    <row r="94" spans="1:10" s="4" customFormat="1" ht="24.75" customHeight="1">
      <c r="A94" s="42">
        <v>32</v>
      </c>
      <c r="B94" s="43" t="s">
        <v>90</v>
      </c>
      <c r="C94" s="66">
        <v>11.411960632146897</v>
      </c>
      <c r="D94" s="66">
        <v>0.6075695596666667</v>
      </c>
      <c r="E94" s="66">
        <v>61.917152580881336</v>
      </c>
      <c r="F94" s="66">
        <v>0.72717592774576278</v>
      </c>
      <c r="G94" s="45">
        <f t="shared" si="9"/>
        <v>2.7951281174399661E-4</v>
      </c>
      <c r="H94" s="44">
        <v>0</v>
      </c>
    </row>
    <row r="95" spans="1:10" s="4" customFormat="1" ht="24.75" customHeight="1">
      <c r="A95" s="42"/>
      <c r="B95" s="46" t="s">
        <v>80</v>
      </c>
      <c r="C95" s="49">
        <f>SUM(C87:C94)</f>
        <v>3709.7713084097663</v>
      </c>
      <c r="D95" s="49">
        <f>SUM(D87:D94)</f>
        <v>2725.2562248650452</v>
      </c>
      <c r="E95" s="49">
        <f>SUM(E87:E94)</f>
        <v>27026.99532128574</v>
      </c>
      <c r="F95" s="49">
        <f>SUM(F87:F94)</f>
        <v>23645.731557477829</v>
      </c>
      <c r="G95" s="48">
        <f t="shared" si="9"/>
        <v>0.12200805657812258</v>
      </c>
      <c r="H95" s="48">
        <f t="shared" ref="H95:H99" si="13">((E95-F95)/F95)</f>
        <v>0.14299679227892634</v>
      </c>
    </row>
    <row r="96" spans="1:10" s="4" customFormat="1" ht="24.75" customHeight="1">
      <c r="A96" s="50">
        <v>33</v>
      </c>
      <c r="B96" s="43" t="s">
        <v>25</v>
      </c>
      <c r="C96" s="66">
        <v>654.84741185900032</v>
      </c>
      <c r="D96" s="66">
        <v>502.4817620833</v>
      </c>
      <c r="E96" s="66">
        <v>7670.8007860039725</v>
      </c>
      <c r="F96" s="66">
        <v>6079.3273360732992</v>
      </c>
      <c r="G96" s="45">
        <f t="shared" si="9"/>
        <v>3.462832198595122E-2</v>
      </c>
      <c r="H96" s="45">
        <f t="shared" si="13"/>
        <v>0.26178446429216667</v>
      </c>
    </row>
    <row r="97" spans="1:8" s="4" customFormat="1" ht="24.75" customHeight="1">
      <c r="A97" s="50">
        <v>34</v>
      </c>
      <c r="B97" s="43" t="s">
        <v>22</v>
      </c>
      <c r="C97" s="66">
        <v>114.08</v>
      </c>
      <c r="D97" s="66">
        <v>111.9</v>
      </c>
      <c r="E97" s="66">
        <v>891.37</v>
      </c>
      <c r="F97" s="66">
        <v>829.81999999999994</v>
      </c>
      <c r="G97" s="45">
        <f t="shared" si="9"/>
        <v>4.0239146120097605E-3</v>
      </c>
      <c r="H97" s="45">
        <f t="shared" si="13"/>
        <v>7.4172712154443224E-2</v>
      </c>
    </row>
    <row r="98" spans="1:8" s="4" customFormat="1" ht="26.25">
      <c r="A98" s="42"/>
      <c r="B98" s="46" t="s">
        <v>81</v>
      </c>
      <c r="C98" s="51">
        <f>SUM(C96:C97)</f>
        <v>768.92741185900036</v>
      </c>
      <c r="D98" s="51">
        <f t="shared" ref="D98:F98" si="14">SUM(D96:D97)</f>
        <v>614.38176208330003</v>
      </c>
      <c r="E98" s="51">
        <f t="shared" si="14"/>
        <v>8562.1707860039733</v>
      </c>
      <c r="F98" s="51">
        <f t="shared" si="14"/>
        <v>6909.1473360732989</v>
      </c>
      <c r="G98" s="48">
        <f t="shared" si="9"/>
        <v>3.8652236597960986E-2</v>
      </c>
      <c r="H98" s="48">
        <f t="shared" si="13"/>
        <v>0.23925144008727178</v>
      </c>
    </row>
    <row r="99" spans="1:8" s="4" customFormat="1" ht="26.25">
      <c r="A99" s="42"/>
      <c r="B99" s="52" t="s">
        <v>82</v>
      </c>
      <c r="C99" s="53">
        <f>(C86+C95+C98)</f>
        <v>26896.163249331938</v>
      </c>
      <c r="D99" s="53">
        <f>(D86+D95+D98)</f>
        <v>21649.264445906971</v>
      </c>
      <c r="E99" s="53">
        <f>(E86+E95+E98)</f>
        <v>221518.12002660803</v>
      </c>
      <c r="F99" s="53">
        <f>(F86+F95+F98)</f>
        <v>205131.91498266312</v>
      </c>
      <c r="G99" s="48">
        <f>E99/$E$99</f>
        <v>1</v>
      </c>
      <c r="H99" s="48">
        <f t="shared" si="13"/>
        <v>7.9881304892657976E-2</v>
      </c>
    </row>
    <row r="100" spans="1:8" s="6" customFormat="1" ht="15">
      <c r="A100" s="79" t="s">
        <v>83</v>
      </c>
      <c r="B100" s="79"/>
      <c r="C100" s="79"/>
      <c r="D100" s="79"/>
      <c r="E100" s="79"/>
      <c r="F100" s="79"/>
      <c r="G100" s="79"/>
      <c r="H100" s="79"/>
    </row>
    <row r="101" spans="1:8" s="6" customFormat="1" ht="15" customHeight="1">
      <c r="A101" s="79" t="s">
        <v>84</v>
      </c>
      <c r="B101" s="79"/>
      <c r="C101" s="79"/>
      <c r="D101" s="37"/>
      <c r="E101" s="37"/>
      <c r="F101" s="37"/>
      <c r="G101" s="37"/>
      <c r="H101" s="37"/>
    </row>
    <row r="102" spans="1:8" ht="15.75">
      <c r="A102" s="78"/>
      <c r="B102" s="78"/>
      <c r="C102" s="78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2025-11-10T06:33:19Z</cp:lastPrinted>
  <dcterms:created xsi:type="dcterms:W3CDTF">2024-07-04T10:52:00Z</dcterms:created>
  <dcterms:modified xsi:type="dcterms:W3CDTF">2025-12-29T06:23:19Z</dcterms:modified>
</cp:coreProperties>
</file>