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PRAKASH\Non-Life\Analysis\2025-26\GDP Flash Figures\JUNE\"/>
    </mc:Choice>
  </mc:AlternateContent>
  <bookViews>
    <workbookView xWindow="0" yWindow="0" windowWidth="28770" windowHeight="11580"/>
  </bookViews>
  <sheets>
    <sheet name="Website" sheetId="2" r:id="rId1"/>
  </sheets>
  <definedNames>
    <definedName name="_xlnm._FilterDatabase" localSheetId="0" hidden="1">Website!$A$60:$H$101</definedName>
    <definedName name="New_India" localSheetId="0">Website!$C$82:$F$85</definedName>
    <definedName name="New_India">#REF!</definedName>
    <definedName name="_xlnm.Print_Area" localSheetId="0">Website!$A$2:$H$101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2" l="1"/>
  <c r="D46" i="2"/>
  <c r="E46" i="2"/>
  <c r="C46" i="2"/>
  <c r="C86" i="2" l="1"/>
  <c r="H61" i="2" l="1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7" i="2"/>
  <c r="H88" i="2"/>
  <c r="H89" i="2"/>
  <c r="H90" i="2"/>
  <c r="H91" i="2"/>
  <c r="H92" i="2"/>
  <c r="H93" i="2"/>
  <c r="H94" i="2"/>
  <c r="H96" i="2"/>
  <c r="H97" i="2"/>
  <c r="E37" i="2" l="1"/>
  <c r="F86" i="2" l="1"/>
  <c r="E86" i="2"/>
  <c r="D86" i="2"/>
  <c r="C98" i="2"/>
  <c r="D95" i="2"/>
  <c r="C95" i="2"/>
  <c r="F95" i="2"/>
  <c r="E95" i="2"/>
  <c r="H39" i="2" l="1"/>
  <c r="H40" i="2"/>
  <c r="H41" i="2"/>
  <c r="H42" i="2"/>
  <c r="H43" i="2"/>
  <c r="H44" i="2"/>
  <c r="H45" i="2"/>
  <c r="H46" i="2" l="1"/>
  <c r="H38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12" i="2"/>
  <c r="F49" i="2" l="1"/>
  <c r="E49" i="2"/>
  <c r="D49" i="2"/>
  <c r="C49" i="2"/>
  <c r="F37" i="2"/>
  <c r="D37" i="2"/>
  <c r="C37" i="2"/>
  <c r="H37" i="2" l="1"/>
  <c r="C50" i="2"/>
  <c r="D50" i="2"/>
  <c r="E50" i="2"/>
  <c r="F50" i="2"/>
  <c r="H49" i="2"/>
  <c r="H48" i="2"/>
  <c r="H47" i="2"/>
  <c r="G39" i="2" l="1"/>
  <c r="G40" i="2"/>
  <c r="G41" i="2"/>
  <c r="G42" i="2"/>
  <c r="G43" i="2"/>
  <c r="G44" i="2"/>
  <c r="G45" i="2"/>
  <c r="H50" i="2"/>
  <c r="G27" i="2"/>
  <c r="G28" i="2"/>
  <c r="G12" i="2"/>
  <c r="G29" i="2"/>
  <c r="G30" i="2"/>
  <c r="G31" i="2"/>
  <c r="G32" i="2"/>
  <c r="G13" i="2"/>
  <c r="G33" i="2"/>
  <c r="G14" i="2"/>
  <c r="G34" i="2"/>
  <c r="G15" i="2"/>
  <c r="G35" i="2"/>
  <c r="G16" i="2"/>
  <c r="G36" i="2"/>
  <c r="G17" i="2"/>
  <c r="G38" i="2"/>
  <c r="G18" i="2"/>
  <c r="G19" i="2"/>
  <c r="G20" i="2"/>
  <c r="G21" i="2"/>
  <c r="G22" i="2"/>
  <c r="G23" i="2"/>
  <c r="G24" i="2"/>
  <c r="G47" i="2"/>
  <c r="G25" i="2"/>
  <c r="G48" i="2"/>
  <c r="G26" i="2"/>
  <c r="D98" i="2"/>
  <c r="E98" i="2"/>
  <c r="F98" i="2"/>
  <c r="D99" i="2" l="1"/>
  <c r="F99" i="2"/>
  <c r="E99" i="2"/>
  <c r="G69" i="2" s="1"/>
  <c r="C99" i="2"/>
  <c r="H98" i="2"/>
  <c r="H95" i="2"/>
  <c r="H86" i="2"/>
  <c r="G87" i="2" l="1"/>
  <c r="G94" i="2"/>
  <c r="G93" i="2"/>
  <c r="G82" i="2"/>
  <c r="G62" i="2"/>
  <c r="G61" i="2"/>
  <c r="G70" i="2"/>
  <c r="G73" i="2"/>
  <c r="G72" i="2"/>
  <c r="G68" i="2"/>
  <c r="G77" i="2"/>
  <c r="G67" i="2"/>
  <c r="G76" i="2"/>
  <c r="G66" i="2"/>
  <c r="G85" i="2"/>
  <c r="G86" i="2"/>
  <c r="G75" i="2"/>
  <c r="G99" i="2"/>
  <c r="G65" i="2"/>
  <c r="G98" i="2"/>
  <c r="G84" i="2"/>
  <c r="G89" i="2"/>
  <c r="G74" i="2"/>
  <c r="G88" i="2"/>
  <c r="G64" i="2"/>
  <c r="G92" i="2"/>
  <c r="G83" i="2"/>
  <c r="G63" i="2"/>
  <c r="G81" i="2"/>
  <c r="G79" i="2"/>
  <c r="G71" i="2"/>
  <c r="G97" i="2"/>
  <c r="G95" i="2"/>
  <c r="G80" i="2"/>
  <c r="G96" i="2"/>
  <c r="G91" i="2"/>
  <c r="G90" i="2"/>
  <c r="G78" i="2"/>
  <c r="G49" i="2"/>
  <c r="G50" i="2"/>
  <c r="G46" i="2"/>
  <c r="G37" i="2"/>
  <c r="H99" i="2"/>
</calcChain>
</file>

<file path=xl/sharedStrings.xml><?xml version="1.0" encoding="utf-8"?>
<sst xmlns="http://schemas.openxmlformats.org/spreadsheetml/2006/main" count="122" uniqueCount="106">
  <si>
    <t>2024-25</t>
  </si>
  <si>
    <t>The New India Assurance Company Limited</t>
  </si>
  <si>
    <t>ICICI Lombard General Insurance Company Limited</t>
  </si>
  <si>
    <t>United India Insurance Company Limited</t>
  </si>
  <si>
    <t>Bajaj Allianz General Insurance Company Limited</t>
  </si>
  <si>
    <t>The Oriental Insurance Company Limited</t>
  </si>
  <si>
    <t>Tata AIG General Insurance Company Limited</t>
  </si>
  <si>
    <t>HDFC Ergo General insurance Company Limited</t>
  </si>
  <si>
    <t>National Insurance Company Limited</t>
  </si>
  <si>
    <t>Star Health &amp; Allied Insurance Company Limited</t>
  </si>
  <si>
    <t>Reliance General Insurance Company Limited</t>
  </si>
  <si>
    <t>SBI General Insurance Company Limited</t>
  </si>
  <si>
    <t>Go Digit General Insurance Limited</t>
  </si>
  <si>
    <t>Care Health Insurance Company Limited</t>
  </si>
  <si>
    <t>Cholamandalam MS General Insurance Company Limited</t>
  </si>
  <si>
    <t>IFFCO Tokio General Insurance Company Limited</t>
  </si>
  <si>
    <t>Future Generali India Insurance Company Limited</t>
  </si>
  <si>
    <t>Universal Sompo General Insurance Company Limited</t>
  </si>
  <si>
    <t>Aditya Birla Health Insurance Company Limited</t>
  </si>
  <si>
    <t>Royal Sundaram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</si>
  <si>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</si>
  <si>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</si>
  <si>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</si>
  <si>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</si>
  <si>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</si>
  <si>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Kshema General Insurance Company Limited</t>
  </si>
  <si>
    <t>Zuno General Insurance Limited</t>
  </si>
  <si>
    <t>Agricultural Insurance Company of India Limited</t>
  </si>
  <si>
    <t>Raheja QBE General Insurance Company Limited</t>
  </si>
  <si>
    <t>NAVI General Insurance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</si>
  <si>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</si>
  <si>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</si>
  <si>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</si>
  <si>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</si>
  <si>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</si>
  <si>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</si>
  <si>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</si>
  <si>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</si>
  <si>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</si>
  <si>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बजाज एलियांज जनरल इंश्योरेंस कंपनी लिमिटेड</t>
  </si>
  <si>
    <t>चोलमांडलम एमएस जनरल इंश्योरेंस कंपनी लिमिटेड</t>
  </si>
  <si>
    <t>फ्यूचर जनराली इंडिया इंश्योरेंस कंपनी 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</si>
  <si>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</si>
  <si>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</si>
  <si>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</si>
  <si>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</si>
  <si>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</si>
  <si>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</si>
  <si>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</si>
  <si>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</si>
  <si>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</si>
  <si>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रिलायंस जनरल इंश्योरेंस कंपनी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</si>
  <si>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</si>
  <si>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</si>
  <si>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</si>
  <si>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</si>
  <si>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</si>
  <si>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</si>
  <si>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</si>
  <si>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</si>
  <si>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</si>
  <si>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</si>
  <si>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</si>
  <si>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 xml:space="preserve"> केयर हेल्थ इंश्योरेंस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</si>
  <si>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</si>
  <si>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</si>
  <si>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</si>
  <si>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</si>
  <si>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</si>
  <si>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</si>
  <si>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</si>
  <si>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</si>
  <si>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</si>
  <si>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</si>
  <si>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</si>
  <si>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</si>
  <si>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</si>
  <si>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</si>
  <si>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</si>
  <si>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</si>
  <si>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</si>
  <si>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</si>
  <si>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</si>
  <si>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</si>
  <si>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</si>
  <si>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</si>
  <si>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</si>
  <si>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</si>
  <si>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</si>
  <si>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</si>
  <si>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</si>
  <si>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Narayana Health Insurance Limited</t>
  </si>
  <si>
    <t>नारायना  हेल्थ इंश्योरेंस लिमिटेड</t>
  </si>
  <si>
    <t>Galaxy health Insurance Company Limited</t>
  </si>
  <si>
    <t>गैलेक्सी हेल्थ इंश्योरेंस कंपनी लिमिटेड</t>
  </si>
  <si>
    <t>Magma General Insurance Limited</t>
  </si>
  <si>
    <t>मैग्मा जनरल इंश्योरेंस लिमिटेड</t>
  </si>
  <si>
    <t>2025-26</t>
  </si>
  <si>
    <t>जून , 2025 माह और तक के लिए सकल प्रत्यक्ष प्रीमियम अधिग्रहण</t>
  </si>
  <si>
    <t>जून  माह के लिए</t>
  </si>
  <si>
    <t>जून  माह तक</t>
  </si>
  <si>
    <t>जून , 2025 माह तक बाजार शेयर  (%)</t>
  </si>
  <si>
    <t>GROSS DIRECT PREMIUM UNDERWRITTEN FOR AND UPTO THE MONTH  OF JUNE, 2025</t>
  </si>
  <si>
    <t>For the Month of JUNE</t>
  </si>
  <si>
    <t>Upto the Month of JUNE</t>
  </si>
  <si>
    <t>Market Share upto the Month of JUNE, 2025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</si>
</sst>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8"/>
      <color theme="1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3" fillId="0" borderId="0" xfId="3" applyFont="1" applyFill="1" applyBorder="1" applyAlignment="1">
      <alignment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right"/>
    </xf>
    <xf numFmtId="0" fontId="11" fillId="0" borderId="0" xfId="0" applyFont="1" applyBorder="1"/>
    <xf numFmtId="0" fontId="13" fillId="0" borderId="0" xfId="3" quotePrefix="1" applyFont="1" applyFill="1" applyBorder="1" applyAlignment="1">
      <alignment horizontal="center"/>
    </xf>
    <xf numFmtId="0" fontId="13" fillId="0" borderId="0" xfId="3" quotePrefix="1" applyFont="1" applyFill="1" applyBorder="1" applyAlignment="1">
      <alignment horizontal="right"/>
    </xf>
    <xf numFmtId="0" fontId="14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wrapText="1"/>
    </xf>
    <xf numFmtId="0" fontId="16" fillId="0" borderId="0" xfId="3" applyFont="1" applyBorder="1" applyAlignment="1">
      <alignment vertical="center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horizontal="center"/>
    </xf>
    <xf numFmtId="0" fontId="19" fillId="0" borderId="0" xfId="3" applyFont="1" applyFill="1" applyBorder="1" applyAlignment="1">
      <alignment horizontal="center" wrapText="1"/>
    </xf>
    <xf numFmtId="0" fontId="19" fillId="0" borderId="0" xfId="3" applyFont="1" applyFill="1" applyBorder="1" applyAlignment="1">
      <alignment horizontal="right" wrapText="1"/>
    </xf>
    <xf numFmtId="0" fontId="19" fillId="0" borderId="0" xfId="3" quotePrefix="1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2" fillId="0" borderId="0" xfId="3" applyFont="1" applyFill="1" applyBorder="1" applyAlignment="1">
      <alignment horizontal="center" vertical="center"/>
    </xf>
    <xf numFmtId="0" fontId="22" fillId="0" borderId="0" xfId="3" applyFont="1" applyFill="1" applyBorder="1" applyAlignment="1">
      <alignment vertical="center" wrapText="1"/>
    </xf>
    <xf numFmtId="0" fontId="22" fillId="0" borderId="0" xfId="3" applyFont="1" applyFill="1" applyBorder="1" applyAlignment="1">
      <alignment horizontal="right" vertical="center"/>
    </xf>
    <xf numFmtId="0" fontId="22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2" fontId="23" fillId="0" borderId="0" xfId="0" applyNumberFormat="1" applyFont="1" applyAlignment="1">
      <alignment horizontal="right"/>
    </xf>
    <xf numFmtId="0" fontId="15" fillId="0" borderId="0" xfId="3" applyFont="1" applyFill="1" applyBorder="1" applyAlignment="1">
      <alignment horizontal="center" vertical="center"/>
    </xf>
    <xf numFmtId="0" fontId="6" fillId="0" borderId="2" xfId="3" applyFont="1" applyBorder="1" applyAlignment="1">
      <alignment vertical="center"/>
    </xf>
    <xf numFmtId="0" fontId="14" fillId="0" borderId="2" xfId="3" applyFont="1" applyFill="1" applyBorder="1" applyAlignment="1">
      <alignment vertical="center"/>
    </xf>
    <xf numFmtId="0" fontId="14" fillId="0" borderId="1" xfId="3" applyFont="1" applyFill="1" applyBorder="1" applyAlignment="1">
      <alignment horizontal="center"/>
    </xf>
    <xf numFmtId="0" fontId="14" fillId="0" borderId="1" xfId="3" applyFont="1" applyFill="1" applyBorder="1" applyAlignment="1">
      <alignment horizontal="right"/>
    </xf>
    <xf numFmtId="1" fontId="14" fillId="0" borderId="3" xfId="3" applyNumberFormat="1" applyFont="1" applyFill="1" applyBorder="1" applyAlignment="1">
      <alignment horizontal="center" vertical="center"/>
    </xf>
    <xf numFmtId="2" fontId="20" fillId="0" borderId="3" xfId="3" applyNumberFormat="1" applyFont="1" applyFill="1" applyBorder="1" applyAlignment="1">
      <alignment horizontal="left" vertical="center" wrapText="1"/>
    </xf>
    <xf numFmtId="164" fontId="27" fillId="0" borderId="3" xfId="1" applyFont="1" applyFill="1" applyBorder="1" applyAlignment="1">
      <alignment horizontal="right" vertical="center"/>
    </xf>
    <xf numFmtId="10" fontId="23" fillId="0" borderId="3" xfId="0" applyNumberFormat="1" applyFont="1" applyBorder="1" applyAlignment="1">
      <alignment vertical="center"/>
    </xf>
    <xf numFmtId="164" fontId="21" fillId="0" borderId="3" xfId="1" applyFont="1" applyFill="1" applyBorder="1" applyAlignment="1">
      <alignment horizontal="left" vertical="center" wrapText="1"/>
    </xf>
    <xf numFmtId="43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vertical="center"/>
    </xf>
    <xf numFmtId="10" fontId="26" fillId="0" borderId="3" xfId="0" applyNumberFormat="1" applyFont="1" applyBorder="1" applyAlignment="1">
      <alignment horizontal="right" vertical="center"/>
    </xf>
    <xf numFmtId="164" fontId="25" fillId="0" borderId="3" xfId="1" applyFont="1" applyFill="1" applyBorder="1" applyAlignment="1">
      <alignment horizontal="right" vertical="center"/>
    </xf>
    <xf numFmtId="0" fontId="14" fillId="0" borderId="3" xfId="0" applyFont="1" applyFill="1" applyBorder="1" applyAlignment="1">
      <alignment horizontal="center" vertical="center"/>
    </xf>
    <xf numFmtId="164" fontId="7" fillId="0" borderId="3" xfId="1" applyFont="1" applyFill="1" applyBorder="1" applyAlignment="1">
      <alignment horizontal="right" vertical="center"/>
    </xf>
    <xf numFmtId="164" fontId="21" fillId="0" borderId="3" xfId="1" applyFont="1" applyFill="1" applyBorder="1" applyAlignment="1">
      <alignment vertical="center" wrapText="1"/>
    </xf>
    <xf numFmtId="164" fontId="7" fillId="0" borderId="3" xfId="1" applyNumberFormat="1" applyFont="1" applyFill="1" applyBorder="1" applyAlignment="1">
      <alignment horizontal="right" vertical="center"/>
    </xf>
    <xf numFmtId="0" fontId="20" fillId="0" borderId="3" xfId="3" quotePrefix="1" applyFont="1" applyFill="1" applyBorder="1" applyAlignment="1">
      <alignment vertical="center"/>
    </xf>
    <xf numFmtId="10" fontId="23" fillId="0" borderId="3" xfId="0" applyNumberFormat="1" applyFont="1" applyBorder="1" applyAlignment="1">
      <alignment horizontal="right"/>
    </xf>
    <xf numFmtId="0" fontId="21" fillId="0" borderId="3" xfId="3" quotePrefix="1" applyFont="1" applyFill="1" applyBorder="1" applyAlignment="1">
      <alignment vertical="center"/>
    </xf>
    <xf numFmtId="10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horizontal="right"/>
    </xf>
    <xf numFmtId="10" fontId="26" fillId="0" borderId="3" xfId="0" applyNumberFormat="1" applyFont="1" applyBorder="1" applyAlignment="1">
      <alignment horizontal="right"/>
    </xf>
    <xf numFmtId="0" fontId="14" fillId="0" borderId="3" xfId="3" applyFont="1" applyFill="1" applyBorder="1" applyAlignment="1">
      <alignment horizontal="center" vertical="center"/>
    </xf>
    <xf numFmtId="0" fontId="15" fillId="0" borderId="0" xfId="3" applyFont="1" applyFill="1" applyBorder="1" applyAlignment="1">
      <alignment horizontal="right" wrapText="1"/>
    </xf>
    <xf numFmtId="43" fontId="23" fillId="0" borderId="3" xfId="0" applyNumberFormat="1" applyFont="1" applyBorder="1" applyAlignment="1">
      <alignment horizontal="center"/>
    </xf>
    <xf numFmtId="43" fontId="6" fillId="0" borderId="0" xfId="3" applyNumberFormat="1" applyFont="1" applyBorder="1" applyAlignment="1">
      <alignment vertical="center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2" fillId="0" borderId="0" xfId="3" applyFont="1" applyFill="1" applyBorder="1" applyAlignment="1">
      <alignment horizontal="center" vertical="center"/>
    </xf>
    <xf numFmtId="0" fontId="12" fillId="0" borderId="0" xfId="3" quotePrefix="1" applyFont="1" applyFill="1" applyBorder="1" applyAlignment="1">
      <alignment horizontal="center" vertical="center"/>
    </xf>
    <xf numFmtId="0" fontId="13" fillId="0" borderId="0" xfId="3" quotePrefix="1" applyFont="1" applyFill="1" applyBorder="1" applyAlignment="1">
      <alignment horizontal="center"/>
    </xf>
    <xf numFmtId="0" fontId="14" fillId="0" borderId="2" xfId="3" applyFont="1" applyFill="1" applyBorder="1" applyAlignment="1">
      <alignment horizontal="right"/>
    </xf>
    <xf numFmtId="0" fontId="14" fillId="0" borderId="2" xfId="3" quotePrefix="1" applyFont="1" applyFill="1" applyBorder="1" applyAlignment="1">
      <alignment horizontal="center" vertical="center" wrapText="1"/>
    </xf>
    <xf numFmtId="0" fontId="14" fillId="0" borderId="0" xfId="3" quotePrefix="1" applyFont="1" applyFill="1" applyBorder="1" applyAlignment="1">
      <alignment horizontal="center" vertical="center" wrapText="1"/>
    </xf>
    <xf numFmtId="0" fontId="14" fillId="0" borderId="1" xfId="3" quotePrefix="1" applyFont="1" applyFill="1" applyBorder="1" applyAlignment="1">
      <alignment horizontal="center" vertical="center" wrapText="1"/>
    </xf>
    <xf numFmtId="0" fontId="15" fillId="0" borderId="0" xfId="3" applyFont="1" applyFill="1" applyBorder="1" applyAlignment="1">
      <alignment horizontal="right" wrapText="1"/>
    </xf>
    <xf numFmtId="0" fontId="14" fillId="0" borderId="0" xfId="3" applyFont="1" applyFill="1" applyBorder="1" applyAlignment="1">
      <alignment horizontal="center"/>
    </xf>
    <xf numFmtId="0" fontId="3" fillId="0" borderId="0" xfId="3" applyFont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left" vertical="top" wrapText="1"/>
    </xf>
    <xf numFmtId="0" fontId="15" fillId="0" borderId="0" xfId="3" applyFont="1" applyFill="1" applyBorder="1" applyAlignment="1">
      <alignment horizontal="right" vertical="center"/>
    </xf>
    <xf numFmtId="0" fontId="15" fillId="0" borderId="0" xfId="3" quotePrefix="1" applyFont="1" applyFill="1" applyBorder="1" applyAlignment="1">
      <alignment horizontal="center" wrapText="1"/>
    </xf>
    <xf numFmtId="0" fontId="15" fillId="0" borderId="0" xfId="3" applyFont="1" applyFill="1" applyBorder="1" applyAlignment="1">
      <alignment horizontal="center"/>
    </xf>
    <xf numFmtId="0" fontId="15" fillId="0" borderId="0" xfId="3" applyFont="1" applyFill="1" applyBorder="1" applyAlignment="1">
      <alignment horizontal="center" wrapText="1"/>
    </xf>
  </cellXfs>
  <cellStyles count="7">
    <cellStyle name="Comma" xfId="1" builtinId="3"/>
    <cellStyle name="Comma 2 18" xfId="5"/>
    <cellStyle name="Comma 28" xfId="6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65164"/>
  <sheetViews>
    <sheetView tabSelected="1" view="pageBreakPreview" topLeftCell="A85" zoomScale="98" zoomScaleNormal="98" zoomScaleSheetLayoutView="98" workbookViewId="0">
      <selection activeCell="F45" sqref="F45"/>
    </sheetView>
  </sheetViews>
  <sheetFormatPr defaultRowHeight="12.75"/>
  <cols>
    <col min="1" max="1" width="12.85546875" style="7" customWidth="1"/>
    <col min="2" max="2" width="93.42578125" style="13" customWidth="1"/>
    <col min="3" max="4" width="21.7109375" style="12" bestFit="1" customWidth="1"/>
    <col min="5" max="6" width="25.140625" style="12" bestFit="1" customWidth="1"/>
    <col min="7" max="7" width="28" style="1" customWidth="1"/>
    <col min="8" max="8" width="29.85546875" style="11" customWidth="1"/>
    <col min="9" max="9" width="10.140625" style="1" bestFit="1" customWidth="1"/>
    <col min="10" max="10" width="13.7109375" style="1" bestFit="1" customWidth="1"/>
    <col min="11" max="16384" width="9.140625" style="1"/>
  </cols>
  <sheetData>
    <row r="1" spans="1:8" ht="15">
      <c r="A1" s="14"/>
      <c r="B1" s="15"/>
      <c r="C1" s="16"/>
      <c r="D1" s="16"/>
      <c r="E1" s="16"/>
      <c r="F1" s="16"/>
      <c r="G1" s="17"/>
      <c r="H1" s="1"/>
    </row>
    <row r="2" spans="1:8" s="2" customFormat="1" ht="36" customHeight="1">
      <c r="A2" s="68" t="s">
        <v>30</v>
      </c>
      <c r="B2" s="68"/>
      <c r="C2" s="68"/>
      <c r="D2" s="68"/>
      <c r="E2" s="68"/>
      <c r="F2" s="68"/>
      <c r="G2" s="68"/>
      <c r="H2" s="68"/>
    </row>
    <row r="3" spans="1:8" s="2" customFormat="1" ht="36" customHeight="1">
      <c r="A3" s="69" t="s">
        <v>31</v>
      </c>
      <c r="B3" s="69"/>
      <c r="C3" s="69"/>
      <c r="D3" s="69"/>
      <c r="E3" s="69"/>
      <c r="F3" s="69"/>
      <c r="G3" s="69"/>
      <c r="H3" s="69"/>
    </row>
    <row r="4" spans="1:8" s="2" customFormat="1" ht="36" customHeight="1">
      <c r="A4" s="70" t="s">
        <v>98</v>
      </c>
      <c r="B4" s="70"/>
      <c r="C4" s="70"/>
      <c r="D4" s="70"/>
      <c r="E4" s="70"/>
      <c r="F4" s="70"/>
      <c r="G4" s="70"/>
      <c r="H4" s="70"/>
    </row>
    <row r="5" spans="1:8" s="2" customFormat="1" ht="6" customHeight="1">
      <c r="A5" s="18"/>
      <c r="B5" s="18"/>
      <c r="C5" s="19"/>
      <c r="D5" s="19"/>
      <c r="E5" s="19"/>
      <c r="F5" s="19"/>
      <c r="G5" s="18"/>
      <c r="H5" s="18"/>
    </row>
    <row r="6" spans="1:8" s="4" customFormat="1" ht="33" customHeight="1">
      <c r="A6" s="39"/>
      <c r="B6" s="40"/>
      <c r="C6" s="71" t="s">
        <v>32</v>
      </c>
      <c r="D6" s="71"/>
      <c r="E6" s="71"/>
      <c r="F6" s="71"/>
      <c r="G6" s="72" t="s">
        <v>101</v>
      </c>
      <c r="H6" s="72" t="s">
        <v>33</v>
      </c>
    </row>
    <row r="7" spans="1:8" s="4" customFormat="1" ht="11.25" customHeight="1">
      <c r="B7" s="20"/>
      <c r="C7" s="75" t="s">
        <v>34</v>
      </c>
      <c r="D7" s="75"/>
      <c r="E7" s="75"/>
      <c r="F7" s="75"/>
      <c r="G7" s="73"/>
      <c r="H7" s="73"/>
    </row>
    <row r="8" spans="1:8" s="22" customFormat="1" ht="32.25" customHeight="1">
      <c r="A8" s="38"/>
      <c r="B8" s="21"/>
      <c r="C8" s="76" t="s">
        <v>99</v>
      </c>
      <c r="D8" s="76"/>
      <c r="E8" s="76" t="s">
        <v>100</v>
      </c>
      <c r="F8" s="76"/>
      <c r="G8" s="73"/>
      <c r="H8" s="73"/>
    </row>
    <row r="9" spans="1:8" s="23" customFormat="1" ht="9" customHeight="1">
      <c r="A9" s="38"/>
      <c r="B9" s="21"/>
      <c r="C9" s="75" t="s">
        <v>35</v>
      </c>
      <c r="D9" s="75"/>
      <c r="E9" s="75" t="s">
        <v>34</v>
      </c>
      <c r="F9" s="75"/>
      <c r="G9" s="73"/>
      <c r="H9" s="73"/>
    </row>
    <row r="10" spans="1:8" s="24" customFormat="1" ht="37.5" customHeight="1">
      <c r="A10" s="41" t="s">
        <v>36</v>
      </c>
      <c r="B10" s="41" t="s">
        <v>37</v>
      </c>
      <c r="C10" s="42" t="s">
        <v>97</v>
      </c>
      <c r="D10" s="42" t="s">
        <v>0</v>
      </c>
      <c r="E10" s="42" t="s">
        <v>97</v>
      </c>
      <c r="F10" s="42" t="s">
        <v>0</v>
      </c>
      <c r="G10" s="74"/>
      <c r="H10" s="74"/>
    </row>
    <row r="11" spans="1:8" s="3" customFormat="1" ht="13.5" customHeight="1">
      <c r="A11" s="25" t="s">
        <v>34</v>
      </c>
      <c r="B11" s="25" t="s">
        <v>35</v>
      </c>
      <c r="C11" s="26" t="s">
        <v>35</v>
      </c>
      <c r="D11" s="26" t="s">
        <v>34</v>
      </c>
      <c r="E11" s="26" t="s">
        <v>34</v>
      </c>
      <c r="F11" s="26" t="s">
        <v>34</v>
      </c>
      <c r="G11" s="27" t="s">
        <v>34</v>
      </c>
      <c r="H11" s="27" t="s">
        <v>34</v>
      </c>
    </row>
    <row r="12" spans="1:8" s="4" customFormat="1" ht="25.5">
      <c r="A12" s="52">
        <v>1</v>
      </c>
      <c r="B12" s="56" t="s">
        <v>38</v>
      </c>
      <c r="C12" s="64">
        <v>156.19865039999999</v>
      </c>
      <c r="D12" s="64">
        <v>160.44589959999999</v>
      </c>
      <c r="E12" s="64">
        <v>526.97076219999997</v>
      </c>
      <c r="F12" s="64">
        <v>504.82971439999994</v>
      </c>
      <c r="G12" s="57">
        <f t="shared" ref="G12:G36" si="0">E12/$E$50</f>
        <v>6.6489704532690652E-3</v>
      </c>
      <c r="H12" s="57">
        <f>((E12-F12)/F12)</f>
        <v>4.3858448043842063E-2</v>
      </c>
    </row>
    <row r="13" spans="1:8" s="4" customFormat="1" ht="25.5">
      <c r="A13" s="52">
        <v>2</v>
      </c>
      <c r="B13" s="56" t="s">
        <v>39</v>
      </c>
      <c r="C13" s="64">
        <v>1445.2438477999999</v>
      </c>
      <c r="D13" s="64">
        <v>1234.4246215000001</v>
      </c>
      <c r="E13" s="64">
        <v>5170.5428872000002</v>
      </c>
      <c r="F13" s="64">
        <v>4716.2223896000005</v>
      </c>
      <c r="G13" s="57">
        <f t="shared" si="0"/>
        <v>6.5238509136310727E-2</v>
      </c>
      <c r="H13" s="57">
        <f t="shared" ref="H13:H46" si="1">((E13-F13)/F13)</f>
        <v>9.6331440731430878E-2</v>
      </c>
    </row>
    <row r="14" spans="1:8" s="4" customFormat="1" ht="25.5">
      <c r="A14" s="52">
        <v>3</v>
      </c>
      <c r="B14" s="56" t="s">
        <v>40</v>
      </c>
      <c r="C14" s="64">
        <v>544.8335456683069</v>
      </c>
      <c r="D14" s="64">
        <v>593.070863081987</v>
      </c>
      <c r="E14" s="64">
        <v>1812.1487191931949</v>
      </c>
      <c r="F14" s="64">
        <v>1920.5573508613668</v>
      </c>
      <c r="G14" s="57">
        <f t="shared" si="0"/>
        <v>2.28645005664888E-2</v>
      </c>
      <c r="H14" s="57">
        <f t="shared" si="1"/>
        <v>-5.6446443330396147E-2</v>
      </c>
    </row>
    <row r="15" spans="1:8" s="4" customFormat="1" ht="25.5">
      <c r="A15" s="52">
        <v>4</v>
      </c>
      <c r="B15" s="56" t="s">
        <v>41</v>
      </c>
      <c r="C15" s="64">
        <v>282.45240768916671</v>
      </c>
      <c r="D15" s="64">
        <v>353.49221203805081</v>
      </c>
      <c r="E15" s="64">
        <v>1230.3586916056267</v>
      </c>
      <c r="F15" s="64">
        <v>1458.2619650540742</v>
      </c>
      <c r="G15" s="57">
        <f t="shared" si="0"/>
        <v>1.5523856680883231E-2</v>
      </c>
      <c r="H15" s="57">
        <f t="shared" si="1"/>
        <v>-0.15628417863864155</v>
      </c>
    </row>
    <row r="16" spans="1:8" s="4" customFormat="1" ht="25.5">
      <c r="A16" s="52">
        <v>5</v>
      </c>
      <c r="B16" s="56" t="s">
        <v>42</v>
      </c>
      <c r="C16" s="64">
        <v>740.54913869999996</v>
      </c>
      <c r="D16" s="64">
        <v>663.83780523299993</v>
      </c>
      <c r="E16" s="64">
        <v>2507.3291386999999</v>
      </c>
      <c r="F16" s="64">
        <v>2337.487805233</v>
      </c>
      <c r="G16" s="57">
        <f t="shared" si="0"/>
        <v>3.1635829832831801E-2</v>
      </c>
      <c r="H16" s="57">
        <f t="shared" si="1"/>
        <v>7.2659773063530567E-2</v>
      </c>
    </row>
    <row r="17" spans="1:8" s="4" customFormat="1" ht="25.5">
      <c r="A17" s="52">
        <v>6</v>
      </c>
      <c r="B17" s="56" t="s">
        <v>43</v>
      </c>
      <c r="C17" s="64">
        <v>870.82949671750873</v>
      </c>
      <c r="D17" s="64">
        <v>1054.3197915699998</v>
      </c>
      <c r="E17" s="64">
        <v>3420.6542111262374</v>
      </c>
      <c r="F17" s="64">
        <v>3751.7283329319998</v>
      </c>
      <c r="G17" s="57">
        <f t="shared" si="0"/>
        <v>4.3159564841278315E-2</v>
      </c>
      <c r="H17" s="57">
        <f t="shared" si="1"/>
        <v>-8.8245761000244338E-2</v>
      </c>
    </row>
    <row r="18" spans="1:8" s="4" customFormat="1" ht="25.5">
      <c r="A18" s="52">
        <v>7</v>
      </c>
      <c r="B18" s="56" t="s">
        <v>44</v>
      </c>
      <c r="C18" s="64">
        <v>1987.41</v>
      </c>
      <c r="D18" s="64">
        <v>2217.11</v>
      </c>
      <c r="E18" s="64">
        <v>7734.8363671979923</v>
      </c>
      <c r="F18" s="64">
        <v>7687.630000000001</v>
      </c>
      <c r="G18" s="57">
        <f t="shared" si="0"/>
        <v>9.7593077558355834E-2</v>
      </c>
      <c r="H18" s="57">
        <f t="shared" si="1"/>
        <v>6.1405618113763681E-3</v>
      </c>
    </row>
    <row r="19" spans="1:8" s="4" customFormat="1" ht="25.5">
      <c r="A19" s="52">
        <v>8</v>
      </c>
      <c r="B19" s="56" t="s">
        <v>45</v>
      </c>
      <c r="C19" s="64">
        <v>583.00633804699999</v>
      </c>
      <c r="D19" s="64">
        <v>556.37612944299997</v>
      </c>
      <c r="E19" s="64">
        <v>2023.1346083949993</v>
      </c>
      <c r="F19" s="64">
        <v>1848.3705705419998</v>
      </c>
      <c r="G19" s="57">
        <f t="shared" si="0"/>
        <v>2.5526581736804433E-2</v>
      </c>
      <c r="H19" s="57">
        <f t="shared" si="1"/>
        <v>9.4550324831104232E-2</v>
      </c>
    </row>
    <row r="20" spans="1:8" s="4" customFormat="1" ht="25.5">
      <c r="A20" s="52">
        <v>9</v>
      </c>
      <c r="B20" s="56" t="s">
        <v>46</v>
      </c>
      <c r="C20" s="64">
        <v>-64.577868305993505</v>
      </c>
      <c r="D20" s="64">
        <v>14.692002738999999</v>
      </c>
      <c r="E20" s="64">
        <v>281.04559256503734</v>
      </c>
      <c r="F20" s="64">
        <v>296.19702593700003</v>
      </c>
      <c r="G20" s="57">
        <f t="shared" si="0"/>
        <v>3.5460484243663216E-3</v>
      </c>
      <c r="H20" s="57">
        <f t="shared" si="1"/>
        <v>-5.1153225877377133E-2</v>
      </c>
    </row>
    <row r="21" spans="1:8" s="4" customFormat="1" ht="25.5">
      <c r="A21" s="52">
        <v>10</v>
      </c>
      <c r="B21" s="56" t="s">
        <v>47</v>
      </c>
      <c r="C21" s="64">
        <v>191.75573644152817</v>
      </c>
      <c r="D21" s="64">
        <v>175.57795042999496</v>
      </c>
      <c r="E21" s="64">
        <v>620.40512054890007</v>
      </c>
      <c r="F21" s="64">
        <v>552.67113709798639</v>
      </c>
      <c r="G21" s="57">
        <f t="shared" si="0"/>
        <v>7.8278637288436443E-3</v>
      </c>
      <c r="H21" s="57">
        <f t="shared" si="1"/>
        <v>0.1225574829302235</v>
      </c>
    </row>
    <row r="22" spans="1:8" s="4" customFormat="1" ht="25.5">
      <c r="A22" s="52">
        <v>11</v>
      </c>
      <c r="B22" s="56" t="s">
        <v>96</v>
      </c>
      <c r="C22" s="64">
        <v>268.19925048998738</v>
      </c>
      <c r="D22" s="64">
        <v>238.06176695199994</v>
      </c>
      <c r="E22" s="64">
        <v>896.16355878616923</v>
      </c>
      <c r="F22" s="64">
        <v>833.16450318800003</v>
      </c>
      <c r="G22" s="57">
        <f t="shared" si="0"/>
        <v>1.1307202317619766E-2</v>
      </c>
      <c r="H22" s="57">
        <f t="shared" si="1"/>
        <v>7.5614185862589181E-2</v>
      </c>
    </row>
    <row r="23" spans="1:8" s="4" customFormat="1" ht="25.5">
      <c r="A23" s="52">
        <v>12</v>
      </c>
      <c r="B23" s="56" t="s">
        <v>48</v>
      </c>
      <c r="C23" s="64">
        <v>1382.2</v>
      </c>
      <c r="D23" s="64">
        <v>1101.5899999999999</v>
      </c>
      <c r="E23" s="64">
        <v>3974.49</v>
      </c>
      <c r="F23" s="64">
        <v>3478.8599999999997</v>
      </c>
      <c r="G23" s="57">
        <f t="shared" si="0"/>
        <v>5.0147500530179065E-2</v>
      </c>
      <c r="H23" s="57">
        <f t="shared" si="1"/>
        <v>0.14246908470016045</v>
      </c>
    </row>
    <row r="24" spans="1:8" s="4" customFormat="1" ht="25.5">
      <c r="A24" s="52">
        <v>13</v>
      </c>
      <c r="B24" s="56" t="s">
        <v>49</v>
      </c>
      <c r="C24" s="64">
        <v>5.7987852835738902</v>
      </c>
      <c r="D24" s="64">
        <v>4.3044824716270131</v>
      </c>
      <c r="E24" s="64">
        <v>33.83016764516659</v>
      </c>
      <c r="F24" s="64">
        <v>12.536864419982694</v>
      </c>
      <c r="G24" s="57">
        <f t="shared" si="0"/>
        <v>4.2684680296642798E-4</v>
      </c>
      <c r="H24" s="57">
        <f t="shared" si="1"/>
        <v>1.6984552525944356</v>
      </c>
    </row>
    <row r="25" spans="1:8" s="4" customFormat="1" ht="25.5">
      <c r="A25" s="52">
        <v>14</v>
      </c>
      <c r="B25" s="56" t="s">
        <v>50</v>
      </c>
      <c r="C25" s="64">
        <v>13.776750254499989</v>
      </c>
      <c r="D25" s="64">
        <v>39.430377125001648</v>
      </c>
      <c r="E25" s="64">
        <v>43.943364054119016</v>
      </c>
      <c r="F25" s="64">
        <v>115.09991637600203</v>
      </c>
      <c r="G25" s="57">
        <f t="shared" si="0"/>
        <v>5.5444846312401974E-4</v>
      </c>
      <c r="H25" s="57">
        <f t="shared" si="1"/>
        <v>-0.61821549973531453</v>
      </c>
    </row>
    <row r="26" spans="1:8" s="4" customFormat="1" ht="25.5">
      <c r="A26" s="52">
        <v>15</v>
      </c>
      <c r="B26" s="56" t="s">
        <v>51</v>
      </c>
      <c r="C26" s="64">
        <v>1025.4907937561393</v>
      </c>
      <c r="D26" s="64">
        <v>1103.2976137255544</v>
      </c>
      <c r="E26" s="64">
        <v>3367.090723220475</v>
      </c>
      <c r="F26" s="64">
        <v>3314.1207068653393</v>
      </c>
      <c r="G26" s="57">
        <f t="shared" si="0"/>
        <v>4.2483735983197796E-2</v>
      </c>
      <c r="H26" s="57">
        <f t="shared" si="1"/>
        <v>1.5983128268504527E-2</v>
      </c>
    </row>
    <row r="27" spans="1:8" s="4" customFormat="1" ht="25.5">
      <c r="A27" s="52">
        <v>16</v>
      </c>
      <c r="B27" s="56" t="s">
        <v>52</v>
      </c>
      <c r="C27" s="64">
        <v>327.6249326039507</v>
      </c>
      <c r="D27" s="64">
        <v>299.85243232279674</v>
      </c>
      <c r="E27" s="64">
        <v>1160.4846151605095</v>
      </c>
      <c r="F27" s="64">
        <v>1004.68020181004</v>
      </c>
      <c r="G27" s="57">
        <f t="shared" si="0"/>
        <v>1.4642231545186001E-2</v>
      </c>
      <c r="H27" s="57">
        <f t="shared" si="1"/>
        <v>0.15507861413987359</v>
      </c>
    </row>
    <row r="28" spans="1:8" s="4" customFormat="1" ht="25.5">
      <c r="A28" s="52">
        <v>17</v>
      </c>
      <c r="B28" s="56" t="s">
        <v>53</v>
      </c>
      <c r="C28" s="64">
        <v>984.36314667591796</v>
      </c>
      <c r="D28" s="64">
        <v>909.14880670000002</v>
      </c>
      <c r="E28" s="64">
        <v>3163.0727021669727</v>
      </c>
      <c r="F28" s="64">
        <v>2602.6834459468705</v>
      </c>
      <c r="G28" s="57">
        <f t="shared" si="0"/>
        <v>3.9909570789941153E-2</v>
      </c>
      <c r="H28" s="57">
        <f t="shared" si="1"/>
        <v>0.21531210685371285</v>
      </c>
    </row>
    <row r="29" spans="1:8" s="4" customFormat="1" ht="25.5">
      <c r="A29" s="52">
        <v>18</v>
      </c>
      <c r="B29" s="56" t="s">
        <v>54</v>
      </c>
      <c r="C29" s="64">
        <v>346.751541266</v>
      </c>
      <c r="D29" s="64">
        <v>265.55969801500004</v>
      </c>
      <c r="E29" s="64">
        <v>960.38088113699996</v>
      </c>
      <c r="F29" s="64">
        <v>733.08269357499989</v>
      </c>
      <c r="G29" s="57">
        <f t="shared" si="0"/>
        <v>1.2117454250983534E-2</v>
      </c>
      <c r="H29" s="57">
        <f t="shared" si="1"/>
        <v>0.31005804604872417</v>
      </c>
    </row>
    <row r="30" spans="1:8" s="4" customFormat="1" ht="25.5">
      <c r="A30" s="52">
        <v>19</v>
      </c>
      <c r="B30" s="56" t="s">
        <v>55</v>
      </c>
      <c r="C30" s="64">
        <v>1396.0987278330017</v>
      </c>
      <c r="D30" s="64">
        <v>1334.01</v>
      </c>
      <c r="E30" s="64">
        <v>4886.4578040309989</v>
      </c>
      <c r="F30" s="64">
        <v>4339.6745000000001</v>
      </c>
      <c r="G30" s="57">
        <f t="shared" si="0"/>
        <v>6.165411041878132E-2</v>
      </c>
      <c r="H30" s="57">
        <f t="shared" si="1"/>
        <v>0.12599638614163317</v>
      </c>
    </row>
    <row r="31" spans="1:8" s="4" customFormat="1" ht="25.5">
      <c r="A31" s="52">
        <v>20</v>
      </c>
      <c r="B31" s="56" t="s">
        <v>56</v>
      </c>
      <c r="C31" s="64">
        <v>3328.2291891</v>
      </c>
      <c r="D31" s="64">
        <v>3007.1153820999998</v>
      </c>
      <c r="E31" s="64">
        <v>12299.4907308</v>
      </c>
      <c r="F31" s="64">
        <v>10670.4648791</v>
      </c>
      <c r="G31" s="57">
        <f t="shared" si="0"/>
        <v>0.15518688383760573</v>
      </c>
      <c r="H31" s="57">
        <f t="shared" si="1"/>
        <v>0.15266681162980411</v>
      </c>
    </row>
    <row r="32" spans="1:8" s="4" customFormat="1" ht="25.5">
      <c r="A32" s="52">
        <v>21</v>
      </c>
      <c r="B32" s="56" t="s">
        <v>57</v>
      </c>
      <c r="C32" s="64">
        <v>1711.0923</v>
      </c>
      <c r="D32" s="64">
        <v>1516.4349999999999</v>
      </c>
      <c r="E32" s="64">
        <v>5805.1283000000003</v>
      </c>
      <c r="F32" s="64">
        <v>4797.58</v>
      </c>
      <c r="G32" s="57">
        <f t="shared" si="0"/>
        <v>7.3245290465445256E-2</v>
      </c>
      <c r="H32" s="57">
        <f t="shared" si="1"/>
        <v>0.21001177677078869</v>
      </c>
    </row>
    <row r="33" spans="1:8" s="4" customFormat="1" ht="25.5">
      <c r="A33" s="52">
        <v>22</v>
      </c>
      <c r="B33" s="56" t="s">
        <v>58</v>
      </c>
      <c r="C33" s="64">
        <v>1745.35</v>
      </c>
      <c r="D33" s="64">
        <v>1567.18</v>
      </c>
      <c r="E33" s="64">
        <v>5665.6900000000005</v>
      </c>
      <c r="F33" s="64">
        <v>5286.7</v>
      </c>
      <c r="G33" s="57">
        <f t="shared" si="0"/>
        <v>7.1485949714008665E-2</v>
      </c>
      <c r="H33" s="57">
        <f t="shared" si="1"/>
        <v>7.1687442071613802E-2</v>
      </c>
    </row>
    <row r="34" spans="1:8" s="4" customFormat="1" ht="25.5">
      <c r="A34" s="52">
        <v>23</v>
      </c>
      <c r="B34" s="56" t="s">
        <v>59</v>
      </c>
      <c r="C34" s="64">
        <v>402.317115</v>
      </c>
      <c r="D34" s="64">
        <v>340.88006275599997</v>
      </c>
      <c r="E34" s="64">
        <v>1311.4530892747969</v>
      </c>
      <c r="F34" s="64">
        <v>1123.793078056</v>
      </c>
      <c r="G34" s="57">
        <f t="shared" si="0"/>
        <v>1.6547052449424417E-2</v>
      </c>
      <c r="H34" s="57">
        <f t="shared" si="1"/>
        <v>0.16698804689509356</v>
      </c>
    </row>
    <row r="35" spans="1:8" s="4" customFormat="1" ht="25.5">
      <c r="A35" s="52">
        <v>24</v>
      </c>
      <c r="B35" s="56" t="s">
        <v>60</v>
      </c>
      <c r="C35" s="64">
        <v>82.14</v>
      </c>
      <c r="D35" s="64">
        <v>66.540000000000006</v>
      </c>
      <c r="E35" s="64">
        <v>248.55</v>
      </c>
      <c r="F35" s="64">
        <v>226.07999999999998</v>
      </c>
      <c r="G35" s="57">
        <f t="shared" si="0"/>
        <v>3.1360404119210286E-3</v>
      </c>
      <c r="H35" s="57">
        <f t="shared" si="1"/>
        <v>9.938959660297253E-2</v>
      </c>
    </row>
    <row r="36" spans="1:8" s="4" customFormat="1" ht="25.5">
      <c r="A36" s="52">
        <v>25</v>
      </c>
      <c r="B36" s="56" t="s">
        <v>89</v>
      </c>
      <c r="C36" s="64">
        <v>143.49313833100754</v>
      </c>
      <c r="D36" s="64">
        <v>142.56380225805856</v>
      </c>
      <c r="E36" s="64">
        <v>574.11759824390447</v>
      </c>
      <c r="F36" s="64">
        <v>436.56782223814685</v>
      </c>
      <c r="G36" s="57">
        <f t="shared" si="0"/>
        <v>7.2438382188208632E-3</v>
      </c>
      <c r="H36" s="57">
        <f t="shared" si="1"/>
        <v>0.31507080686932648</v>
      </c>
    </row>
    <row r="37" spans="1:8" s="4" customFormat="1" ht="25.5">
      <c r="A37" s="52"/>
      <c r="B37" s="58" t="s">
        <v>61</v>
      </c>
      <c r="C37" s="48">
        <f>SUM(C12:C36)</f>
        <v>19900.626963751594</v>
      </c>
      <c r="D37" s="48">
        <f t="shared" ref="D37:F37" si="2">SUM(D12:D36)</f>
        <v>18959.316700061074</v>
      </c>
      <c r="E37" s="48">
        <f>SUM(E12:E36)</f>
        <v>69717.769633252101</v>
      </c>
      <c r="F37" s="48">
        <f t="shared" si="2"/>
        <v>64049.044903232818</v>
      </c>
      <c r="G37" s="59">
        <f t="shared" ref="G37" si="3">E37/$E$99</f>
        <v>0.87965295915863717</v>
      </c>
      <c r="H37" s="60">
        <f t="shared" si="1"/>
        <v>8.8505999403796873E-2</v>
      </c>
    </row>
    <row r="38" spans="1:8" s="4" customFormat="1" ht="25.5">
      <c r="A38" s="52">
        <v>26</v>
      </c>
      <c r="B38" s="56" t="s">
        <v>62</v>
      </c>
      <c r="C38" s="64">
        <v>542.0278227</v>
      </c>
      <c r="D38" s="64">
        <v>428.58</v>
      </c>
      <c r="E38" s="64">
        <v>1326.6503570261102</v>
      </c>
      <c r="F38" s="64">
        <v>1040.5905118000001</v>
      </c>
      <c r="G38" s="57">
        <f t="shared" ref="G38:G45" si="4">E38/$E$50</f>
        <v>1.6738801577643701E-2</v>
      </c>
      <c r="H38" s="57">
        <f t="shared" si="1"/>
        <v>0.27490145449364856</v>
      </c>
    </row>
    <row r="39" spans="1:8" s="4" customFormat="1" ht="25.5">
      <c r="A39" s="52">
        <v>27</v>
      </c>
      <c r="B39" s="56" t="s">
        <v>63</v>
      </c>
      <c r="C39" s="64">
        <v>683.698361879034</v>
      </c>
      <c r="D39" s="64">
        <v>651.25718520471798</v>
      </c>
      <c r="E39" s="64">
        <v>2049.4441600787222</v>
      </c>
      <c r="F39" s="64">
        <v>1929.5597176047181</v>
      </c>
      <c r="G39" s="57">
        <f t="shared" si="4"/>
        <v>2.5858538354385122E-2</v>
      </c>
      <c r="H39" s="57">
        <f t="shared" si="1"/>
        <v>6.2130464986501738E-2</v>
      </c>
    </row>
    <row r="40" spans="1:8" s="4" customFormat="1" ht="25.5">
      <c r="A40" s="52">
        <v>28</v>
      </c>
      <c r="B40" s="56" t="s">
        <v>64</v>
      </c>
      <c r="C40" s="64">
        <v>177.59212028471384</v>
      </c>
      <c r="D40" s="64">
        <v>129.34400642983897</v>
      </c>
      <c r="E40" s="64">
        <v>532.00230458094052</v>
      </c>
      <c r="F40" s="64">
        <v>410.05488898192425</v>
      </c>
      <c r="G40" s="57">
        <f t="shared" si="4"/>
        <v>6.7124551454473911E-3</v>
      </c>
      <c r="H40" s="57">
        <f t="shared" si="1"/>
        <v>0.29739290732951573</v>
      </c>
    </row>
    <row r="41" spans="1:8" s="4" customFormat="1" ht="25.5">
      <c r="A41" s="52">
        <v>29</v>
      </c>
      <c r="B41" s="56" t="s">
        <v>65</v>
      </c>
      <c r="C41" s="64">
        <v>594.290979378369</v>
      </c>
      <c r="D41" s="64">
        <v>514.43101493300003</v>
      </c>
      <c r="E41" s="64">
        <v>1631.9013934566044</v>
      </c>
      <c r="F41" s="64">
        <v>1464.175852548</v>
      </c>
      <c r="G41" s="57">
        <f t="shared" si="4"/>
        <v>2.0590258371153289E-2</v>
      </c>
      <c r="H41" s="57">
        <f t="shared" si="1"/>
        <v>0.11455286645844059</v>
      </c>
    </row>
    <row r="42" spans="1:8" s="4" customFormat="1" ht="25.5">
      <c r="A42" s="52"/>
      <c r="B42" s="56" t="s">
        <v>66</v>
      </c>
      <c r="C42" s="45">
        <v>0</v>
      </c>
      <c r="D42" s="45">
        <v>0</v>
      </c>
      <c r="E42" s="45">
        <v>0</v>
      </c>
      <c r="F42" s="45">
        <v>0</v>
      </c>
      <c r="G42" s="57">
        <f t="shared" si="4"/>
        <v>0</v>
      </c>
      <c r="H42" s="61" t="e">
        <f t="shared" si="1"/>
        <v>#DIV/0!</v>
      </c>
    </row>
    <row r="43" spans="1:8" s="4" customFormat="1" ht="25.5">
      <c r="A43" s="52">
        <v>30</v>
      </c>
      <c r="B43" s="56" t="s">
        <v>67</v>
      </c>
      <c r="C43" s="64">
        <v>1335.4212184928299</v>
      </c>
      <c r="D43" s="64">
        <v>1302.0458983999999</v>
      </c>
      <c r="E43" s="64">
        <v>3594.6387448831902</v>
      </c>
      <c r="F43" s="64">
        <v>3475.9249761999999</v>
      </c>
      <c r="G43" s="57">
        <f t="shared" si="4"/>
        <v>4.5354787246874945E-2</v>
      </c>
      <c r="H43" s="57">
        <f t="shared" si="1"/>
        <v>3.415314470134858E-2</v>
      </c>
    </row>
    <row r="44" spans="1:8" s="4" customFormat="1" ht="25.5">
      <c r="A44" s="52">
        <v>31</v>
      </c>
      <c r="B44" s="56" t="s">
        <v>92</v>
      </c>
      <c r="C44" s="64">
        <v>0.62875927033898305</v>
      </c>
      <c r="D44" s="45">
        <v>9.1818999999999998E-3</v>
      </c>
      <c r="E44" s="64">
        <v>1.718059270338983</v>
      </c>
      <c r="F44" s="45">
        <v>9.1818999999999998E-3</v>
      </c>
      <c r="G44" s="57">
        <f t="shared" si="4"/>
        <v>2.1677341789815352E-5</v>
      </c>
      <c r="H44" s="61">
        <f t="shared" si="1"/>
        <v>186.11369872673228</v>
      </c>
    </row>
    <row r="45" spans="1:8" s="4" customFormat="1" ht="25.5">
      <c r="A45" s="52">
        <v>32</v>
      </c>
      <c r="B45" s="56" t="s">
        <v>94</v>
      </c>
      <c r="C45" s="64">
        <v>4.5683554385762726</v>
      </c>
      <c r="D45" s="45">
        <v>0</v>
      </c>
      <c r="E45" s="64">
        <v>12.283355642892651</v>
      </c>
      <c r="F45" s="45">
        <v>0</v>
      </c>
      <c r="G45" s="57">
        <f t="shared" si="4"/>
        <v>1.5498330191152508E-4</v>
      </c>
      <c r="H45" s="61" t="e">
        <f t="shared" si="1"/>
        <v>#DIV/0!</v>
      </c>
    </row>
    <row r="46" spans="1:8" s="4" customFormat="1" ht="25.5">
      <c r="A46" s="52"/>
      <c r="B46" s="58" t="s">
        <v>68</v>
      </c>
      <c r="C46" s="51">
        <f>SUM(C38:C45)</f>
        <v>3338.2276174438621</v>
      </c>
      <c r="D46" s="51">
        <f>SUM(D38:D45)</f>
        <v>3025.6672868675569</v>
      </c>
      <c r="E46" s="51">
        <f>SUM(E38:E45)</f>
        <v>9148.6383749387987</v>
      </c>
      <c r="F46" s="51">
        <f>SUM(F38:F45)</f>
        <v>8320.3151290346432</v>
      </c>
      <c r="G46" s="59">
        <f t="shared" ref="G46" si="5">E46/$E$99</f>
        <v>0.11543150133920578</v>
      </c>
      <c r="H46" s="60">
        <f t="shared" si="1"/>
        <v>9.9554311712741705E-2</v>
      </c>
    </row>
    <row r="47" spans="1:8" s="4" customFormat="1" ht="25.5">
      <c r="A47" s="52">
        <v>33</v>
      </c>
      <c r="B47" s="56" t="s">
        <v>69</v>
      </c>
      <c r="C47" s="64">
        <v>40.057953504505406</v>
      </c>
      <c r="D47" s="64">
        <v>170.07</v>
      </c>
      <c r="E47" s="64">
        <v>67.935969178465257</v>
      </c>
      <c r="F47" s="64">
        <v>181.71659986500001</v>
      </c>
      <c r="G47" s="57">
        <f>E47/$E$50</f>
        <v>8.5717137303032982E-4</v>
      </c>
      <c r="H47" s="57">
        <f t="shared" ref="H47:H50" si="6">((E47-F47)/F47)</f>
        <v>-0.62614329550004832</v>
      </c>
    </row>
    <row r="48" spans="1:8" s="4" customFormat="1" ht="25.5">
      <c r="A48" s="52">
        <v>34</v>
      </c>
      <c r="B48" s="56" t="s">
        <v>70</v>
      </c>
      <c r="C48" s="64">
        <v>125.4</v>
      </c>
      <c r="D48" s="64">
        <v>117.9</v>
      </c>
      <c r="E48" s="64">
        <v>321.64999999999998</v>
      </c>
      <c r="F48" s="64">
        <v>308.64</v>
      </c>
      <c r="G48" s="57">
        <f>E48/$E$50</f>
        <v>4.0583681291265286E-3</v>
      </c>
      <c r="H48" s="57">
        <f t="shared" si="6"/>
        <v>4.2152669777086545E-2</v>
      </c>
    </row>
    <row r="49" spans="1:8" s="4" customFormat="1" ht="26.25">
      <c r="A49" s="62"/>
      <c r="B49" s="58" t="s">
        <v>71</v>
      </c>
      <c r="C49" s="53">
        <f>SUM(C47:C48)</f>
        <v>165.45795350450541</v>
      </c>
      <c r="D49" s="53">
        <f t="shared" ref="D49:F49" si="7">SUM(D47:D48)</f>
        <v>287.97000000000003</v>
      </c>
      <c r="E49" s="53">
        <f t="shared" si="7"/>
        <v>389.58596917846523</v>
      </c>
      <c r="F49" s="53">
        <f t="shared" si="7"/>
        <v>490.35659986500002</v>
      </c>
      <c r="G49" s="59">
        <f>E49/$E$99</f>
        <v>4.9155395021568586E-3</v>
      </c>
      <c r="H49" s="59">
        <f t="shared" si="6"/>
        <v>-0.2055047912361696</v>
      </c>
    </row>
    <row r="50" spans="1:8" s="4" customFormat="1" ht="26.25">
      <c r="A50" s="62"/>
      <c r="B50" s="58" t="s">
        <v>72</v>
      </c>
      <c r="C50" s="55">
        <f>(C37+C46+C49)</f>
        <v>23404.312534699962</v>
      </c>
      <c r="D50" s="55">
        <f t="shared" ref="D50:F50" si="8">(D37+D46+D49)</f>
        <v>22272.953986928631</v>
      </c>
      <c r="E50" s="55">
        <f t="shared" si="8"/>
        <v>79255.993977369377</v>
      </c>
      <c r="F50" s="55">
        <f t="shared" si="8"/>
        <v>72859.716632132462</v>
      </c>
      <c r="G50" s="59">
        <f>E50/$E$99</f>
        <v>1</v>
      </c>
      <c r="H50" s="59">
        <f t="shared" si="6"/>
        <v>8.7788940732937734E-2</v>
      </c>
    </row>
    <row r="51" spans="1:8" s="6" customFormat="1" ht="20.100000000000001" customHeight="1">
      <c r="A51" s="66" t="s">
        <v>73</v>
      </c>
      <c r="B51" s="66"/>
      <c r="C51" s="66"/>
      <c r="D51" s="66"/>
      <c r="E51" s="28"/>
      <c r="F51" s="28"/>
      <c r="G51" s="29"/>
      <c r="H51" s="30"/>
    </row>
    <row r="52" spans="1:8" s="6" customFormat="1" ht="20.100000000000001" customHeight="1">
      <c r="A52" s="67" t="s">
        <v>74</v>
      </c>
      <c r="B52" s="67"/>
      <c r="C52" s="67"/>
      <c r="D52" s="67"/>
      <c r="E52" s="67"/>
      <c r="F52" s="67"/>
      <c r="G52" s="67"/>
      <c r="H52" s="67"/>
    </row>
    <row r="53" spans="1:8" ht="18">
      <c r="A53" s="31"/>
      <c r="B53" s="32"/>
      <c r="C53" s="33"/>
      <c r="D53" s="33"/>
      <c r="E53" s="33"/>
      <c r="F53" s="33"/>
      <c r="G53" s="34"/>
      <c r="H53" s="34"/>
    </row>
    <row r="54" spans="1:8" s="2" customFormat="1" ht="38.1" customHeight="1">
      <c r="A54" s="68" t="s">
        <v>75</v>
      </c>
      <c r="B54" s="68"/>
      <c r="C54" s="68"/>
      <c r="D54" s="68"/>
      <c r="E54" s="68"/>
      <c r="F54" s="68"/>
      <c r="G54" s="68"/>
      <c r="H54" s="68"/>
    </row>
    <row r="55" spans="1:8" s="2" customFormat="1" ht="38.1" customHeight="1">
      <c r="A55" s="69" t="s">
        <v>90</v>
      </c>
      <c r="B55" s="69"/>
      <c r="C55" s="69"/>
      <c r="D55" s="69"/>
      <c r="E55" s="69"/>
      <c r="F55" s="69"/>
      <c r="G55" s="69"/>
      <c r="H55" s="69"/>
    </row>
    <row r="56" spans="1:8" s="2" customFormat="1" ht="38.1" customHeight="1">
      <c r="A56" s="70" t="s">
        <v>102</v>
      </c>
      <c r="B56" s="70"/>
      <c r="C56" s="70"/>
      <c r="D56" s="70"/>
      <c r="E56" s="70"/>
      <c r="F56" s="70"/>
      <c r="G56" s="70"/>
      <c r="H56" s="70"/>
    </row>
    <row r="57" spans="1:8" s="2" customFormat="1" ht="4.5" customHeight="1">
      <c r="A57" s="18"/>
      <c r="B57" s="18"/>
      <c r="C57" s="19"/>
      <c r="D57" s="19"/>
      <c r="E57" s="19"/>
      <c r="F57" s="19"/>
      <c r="G57" s="18"/>
      <c r="H57" s="18"/>
    </row>
    <row r="58" spans="1:8" s="4" customFormat="1" ht="48.75" customHeight="1">
      <c r="B58" s="20"/>
      <c r="C58" s="79" t="s">
        <v>76</v>
      </c>
      <c r="D58" s="79"/>
      <c r="E58" s="79"/>
      <c r="F58" s="79"/>
      <c r="G58" s="80" t="s">
        <v>105</v>
      </c>
      <c r="H58" s="80" t="s">
        <v>77</v>
      </c>
    </row>
    <row r="59" spans="1:8" s="4" customFormat="1" ht="33" customHeight="1">
      <c r="A59" s="81" t="s">
        <v>78</v>
      </c>
      <c r="B59" s="82" t="s">
        <v>79</v>
      </c>
      <c r="C59" s="82" t="s">
        <v>103</v>
      </c>
      <c r="D59" s="82"/>
      <c r="E59" s="82" t="s">
        <v>104</v>
      </c>
      <c r="F59" s="82"/>
      <c r="G59" s="80"/>
      <c r="H59" s="80"/>
    </row>
    <row r="60" spans="1:8" s="36" customFormat="1" ht="69.75" customHeight="1">
      <c r="A60" s="81" t="s">
        <v>78</v>
      </c>
      <c r="B60" s="82"/>
      <c r="C60" s="35" t="s">
        <v>97</v>
      </c>
      <c r="D60" s="35" t="s">
        <v>0</v>
      </c>
      <c r="E60" s="63" t="s">
        <v>97</v>
      </c>
      <c r="F60" s="63" t="s">
        <v>0</v>
      </c>
      <c r="G60" s="80"/>
      <c r="H60" s="80"/>
    </row>
    <row r="61" spans="1:8" s="4" customFormat="1" ht="24.75" customHeight="1">
      <c r="A61" s="43">
        <v>1</v>
      </c>
      <c r="B61" s="44" t="s">
        <v>22</v>
      </c>
      <c r="C61" s="64">
        <v>156.19865039999999</v>
      </c>
      <c r="D61" s="64">
        <v>160.44589959999999</v>
      </c>
      <c r="E61" s="64">
        <v>526.97076219999997</v>
      </c>
      <c r="F61" s="64">
        <v>504.82971439999994</v>
      </c>
      <c r="G61" s="46">
        <f t="shared" ref="G61:G99" si="9">E61/$E$99</f>
        <v>6.6489704532690652E-3</v>
      </c>
      <c r="H61" s="46">
        <f t="shared" ref="H61:H85" si="10">((E61-F61)/F61)</f>
        <v>4.3858448043842063E-2</v>
      </c>
    </row>
    <row r="62" spans="1:8" s="4" customFormat="1" ht="24.75" customHeight="1">
      <c r="A62" s="43">
        <v>2</v>
      </c>
      <c r="B62" s="44" t="s">
        <v>4</v>
      </c>
      <c r="C62" s="64">
        <v>1445.2438477999999</v>
      </c>
      <c r="D62" s="64">
        <v>1234.4246215000001</v>
      </c>
      <c r="E62" s="64">
        <v>5170.5428872000002</v>
      </c>
      <c r="F62" s="64">
        <v>4716.2223896000005</v>
      </c>
      <c r="G62" s="46">
        <f t="shared" si="9"/>
        <v>6.5238509136310727E-2</v>
      </c>
      <c r="H62" s="46">
        <f t="shared" si="10"/>
        <v>9.6331440731430878E-2</v>
      </c>
    </row>
    <row r="63" spans="1:8" s="4" customFormat="1" ht="24.75" customHeight="1">
      <c r="A63" s="43">
        <v>3</v>
      </c>
      <c r="B63" s="44" t="s">
        <v>14</v>
      </c>
      <c r="C63" s="64">
        <v>544.8335456683069</v>
      </c>
      <c r="D63" s="64">
        <v>593.070863081987</v>
      </c>
      <c r="E63" s="64">
        <v>1812.1487191931949</v>
      </c>
      <c r="F63" s="64">
        <v>1920.5573508613668</v>
      </c>
      <c r="G63" s="46">
        <f t="shared" si="9"/>
        <v>2.28645005664888E-2</v>
      </c>
      <c r="H63" s="46">
        <f t="shared" si="10"/>
        <v>-5.6446443330396147E-2</v>
      </c>
    </row>
    <row r="64" spans="1:8" s="4" customFormat="1" ht="24.75" customHeight="1">
      <c r="A64" s="43">
        <v>4</v>
      </c>
      <c r="B64" s="44" t="s">
        <v>16</v>
      </c>
      <c r="C64" s="64">
        <v>282.45240768916671</v>
      </c>
      <c r="D64" s="64">
        <v>353.49221203805081</v>
      </c>
      <c r="E64" s="64">
        <v>1230.3586916056267</v>
      </c>
      <c r="F64" s="64">
        <v>1458.2619650540742</v>
      </c>
      <c r="G64" s="46">
        <f t="shared" si="9"/>
        <v>1.5523856680883231E-2</v>
      </c>
      <c r="H64" s="46">
        <f t="shared" si="10"/>
        <v>-0.15628417863864155</v>
      </c>
    </row>
    <row r="65" spans="1:10" s="4" customFormat="1" ht="24.75" customHeight="1">
      <c r="A65" s="43">
        <v>5</v>
      </c>
      <c r="B65" s="44" t="s">
        <v>12</v>
      </c>
      <c r="C65" s="64">
        <v>740.54913869999996</v>
      </c>
      <c r="D65" s="64">
        <v>663.83780523299993</v>
      </c>
      <c r="E65" s="64">
        <v>2507.3291386999999</v>
      </c>
      <c r="F65" s="64">
        <v>2337.487805233</v>
      </c>
      <c r="G65" s="46">
        <f t="shared" si="9"/>
        <v>3.1635829832831801E-2</v>
      </c>
      <c r="H65" s="46">
        <f t="shared" si="10"/>
        <v>7.2659773063530567E-2</v>
      </c>
    </row>
    <row r="66" spans="1:10" s="4" customFormat="1" ht="24.75" customHeight="1">
      <c r="A66" s="43">
        <v>6</v>
      </c>
      <c r="B66" s="44" t="s">
        <v>7</v>
      </c>
      <c r="C66" s="64">
        <v>870.82949671750873</v>
      </c>
      <c r="D66" s="64">
        <v>1054.3197915699998</v>
      </c>
      <c r="E66" s="64">
        <v>3420.6542111262374</v>
      </c>
      <c r="F66" s="64">
        <v>3751.7283329319998</v>
      </c>
      <c r="G66" s="46">
        <f t="shared" si="9"/>
        <v>4.3159564841278315E-2</v>
      </c>
      <c r="H66" s="46">
        <f t="shared" si="10"/>
        <v>-8.8245761000244338E-2</v>
      </c>
    </row>
    <row r="67" spans="1:10" s="4" customFormat="1" ht="24.75" customHeight="1">
      <c r="A67" s="43">
        <v>7</v>
      </c>
      <c r="B67" s="44" t="s">
        <v>2</v>
      </c>
      <c r="C67" s="64">
        <v>1987.41</v>
      </c>
      <c r="D67" s="64">
        <v>2217.11</v>
      </c>
      <c r="E67" s="64">
        <v>7734.8363671979923</v>
      </c>
      <c r="F67" s="64">
        <v>7687.630000000001</v>
      </c>
      <c r="G67" s="46">
        <f t="shared" si="9"/>
        <v>9.7593077558355834E-2</v>
      </c>
      <c r="H67" s="46">
        <f t="shared" si="10"/>
        <v>6.1405618113763681E-3</v>
      </c>
    </row>
    <row r="68" spans="1:10" s="4" customFormat="1" ht="24.75" customHeight="1">
      <c r="A68" s="43">
        <v>8</v>
      </c>
      <c r="B68" s="44" t="s">
        <v>15</v>
      </c>
      <c r="C68" s="64">
        <v>583.00633804699999</v>
      </c>
      <c r="D68" s="64">
        <v>556.37612944299997</v>
      </c>
      <c r="E68" s="64">
        <v>2023.1346083949993</v>
      </c>
      <c r="F68" s="64">
        <v>1848.3705705419998</v>
      </c>
      <c r="G68" s="46">
        <f t="shared" si="9"/>
        <v>2.5526581736804433E-2</v>
      </c>
      <c r="H68" s="46">
        <f t="shared" si="10"/>
        <v>9.4550324831104232E-2</v>
      </c>
    </row>
    <row r="69" spans="1:10" s="4" customFormat="1" ht="24.75" customHeight="1">
      <c r="A69" s="43">
        <v>9</v>
      </c>
      <c r="B69" s="44" t="s">
        <v>25</v>
      </c>
      <c r="C69" s="64">
        <v>-64.577868305993505</v>
      </c>
      <c r="D69" s="64">
        <v>14.692002738999999</v>
      </c>
      <c r="E69" s="64">
        <v>281.04559256503734</v>
      </c>
      <c r="F69" s="64">
        <v>296.19702593700003</v>
      </c>
      <c r="G69" s="46">
        <f t="shared" si="9"/>
        <v>3.5460484243663216E-3</v>
      </c>
      <c r="H69" s="46">
        <f t="shared" si="10"/>
        <v>-5.1153225877377133E-2</v>
      </c>
    </row>
    <row r="70" spans="1:10" s="4" customFormat="1" ht="24.75" customHeight="1">
      <c r="A70" s="43">
        <v>10</v>
      </c>
      <c r="B70" s="44" t="s">
        <v>21</v>
      </c>
      <c r="C70" s="64">
        <v>191.75573644152817</v>
      </c>
      <c r="D70" s="64">
        <v>175.57795042999496</v>
      </c>
      <c r="E70" s="64">
        <v>620.40512054890007</v>
      </c>
      <c r="F70" s="64">
        <v>552.67113709798639</v>
      </c>
      <c r="G70" s="46">
        <f t="shared" si="9"/>
        <v>7.8278637288436443E-3</v>
      </c>
      <c r="H70" s="46">
        <f t="shared" si="10"/>
        <v>0.1225574829302235</v>
      </c>
    </row>
    <row r="71" spans="1:10" s="4" customFormat="1" ht="24.75" customHeight="1">
      <c r="A71" s="43">
        <v>11</v>
      </c>
      <c r="B71" s="44" t="s">
        <v>95</v>
      </c>
      <c r="C71" s="64">
        <v>268.19925048998738</v>
      </c>
      <c r="D71" s="64">
        <v>238.06176695199994</v>
      </c>
      <c r="E71" s="64">
        <v>896.16355878616923</v>
      </c>
      <c r="F71" s="64">
        <v>833.16450318800003</v>
      </c>
      <c r="G71" s="46">
        <f t="shared" si="9"/>
        <v>1.1307202317619766E-2</v>
      </c>
      <c r="H71" s="46">
        <f t="shared" si="10"/>
        <v>7.5614185862589181E-2</v>
      </c>
    </row>
    <row r="72" spans="1:10" s="4" customFormat="1" ht="24.75" customHeight="1">
      <c r="A72" s="43">
        <v>12</v>
      </c>
      <c r="B72" s="44" t="s">
        <v>8</v>
      </c>
      <c r="C72" s="64">
        <v>1382.2</v>
      </c>
      <c r="D72" s="64">
        <v>1101.5899999999999</v>
      </c>
      <c r="E72" s="64">
        <v>3974.49</v>
      </c>
      <c r="F72" s="64">
        <v>3478.8599999999997</v>
      </c>
      <c r="G72" s="46">
        <f t="shared" si="9"/>
        <v>5.0147500530179065E-2</v>
      </c>
      <c r="H72" s="46">
        <f t="shared" si="10"/>
        <v>0.14246908470016045</v>
      </c>
      <c r="J72" s="65"/>
    </row>
    <row r="73" spans="1:10" s="4" customFormat="1" ht="24.75" customHeight="1">
      <c r="A73" s="43">
        <v>13</v>
      </c>
      <c r="B73" s="44" t="s">
        <v>29</v>
      </c>
      <c r="C73" s="64">
        <v>5.7987852835738902</v>
      </c>
      <c r="D73" s="64">
        <v>4.3044824716270131</v>
      </c>
      <c r="E73" s="64">
        <v>33.83016764516659</v>
      </c>
      <c r="F73" s="64">
        <v>12.536864419982694</v>
      </c>
      <c r="G73" s="46">
        <f t="shared" si="9"/>
        <v>4.2684680296642798E-4</v>
      </c>
      <c r="H73" s="46">
        <f t="shared" si="10"/>
        <v>1.6984552525944356</v>
      </c>
    </row>
    <row r="74" spans="1:10" s="4" customFormat="1" ht="24.75" customHeight="1">
      <c r="A74" s="43">
        <v>14</v>
      </c>
      <c r="B74" s="44" t="s">
        <v>28</v>
      </c>
      <c r="C74" s="64">
        <v>13.776750254499989</v>
      </c>
      <c r="D74" s="64">
        <v>39.430377125001648</v>
      </c>
      <c r="E74" s="64">
        <v>43.943364054119016</v>
      </c>
      <c r="F74" s="64">
        <v>115.09991637600203</v>
      </c>
      <c r="G74" s="46">
        <f t="shared" si="9"/>
        <v>5.5444846312401974E-4</v>
      </c>
      <c r="H74" s="46">
        <f t="shared" si="10"/>
        <v>-0.61821549973531453</v>
      </c>
    </row>
    <row r="75" spans="1:10" s="4" customFormat="1" ht="24.75" customHeight="1">
      <c r="A75" s="43">
        <v>15</v>
      </c>
      <c r="B75" s="44" t="s">
        <v>10</v>
      </c>
      <c r="C75" s="64">
        <v>1025.4907937561393</v>
      </c>
      <c r="D75" s="64">
        <v>1103.2976137255544</v>
      </c>
      <c r="E75" s="64">
        <v>3367.090723220475</v>
      </c>
      <c r="F75" s="64">
        <v>3314.1207068653393</v>
      </c>
      <c r="G75" s="46">
        <f t="shared" si="9"/>
        <v>4.2483735983197796E-2</v>
      </c>
      <c r="H75" s="46">
        <f t="shared" si="10"/>
        <v>1.5983128268504527E-2</v>
      </c>
    </row>
    <row r="76" spans="1:10" s="4" customFormat="1" ht="24.75" customHeight="1">
      <c r="A76" s="43">
        <v>16</v>
      </c>
      <c r="B76" s="44" t="s">
        <v>19</v>
      </c>
      <c r="C76" s="64">
        <v>327.6249326039507</v>
      </c>
      <c r="D76" s="64">
        <v>299.85243232279674</v>
      </c>
      <c r="E76" s="64">
        <v>1160.4846151605095</v>
      </c>
      <c r="F76" s="64">
        <v>1004.68020181004</v>
      </c>
      <c r="G76" s="46">
        <f t="shared" si="9"/>
        <v>1.4642231545186001E-2</v>
      </c>
      <c r="H76" s="46">
        <f t="shared" si="10"/>
        <v>0.15507861413987359</v>
      </c>
    </row>
    <row r="77" spans="1:10" s="4" customFormat="1" ht="24.75" customHeight="1">
      <c r="A77" s="43">
        <v>17</v>
      </c>
      <c r="B77" s="44" t="s">
        <v>11</v>
      </c>
      <c r="C77" s="64">
        <v>984.36314667591796</v>
      </c>
      <c r="D77" s="64">
        <v>909.14880670000002</v>
      </c>
      <c r="E77" s="64">
        <v>3163.0727021669727</v>
      </c>
      <c r="F77" s="64">
        <v>2602.6834459468705</v>
      </c>
      <c r="G77" s="46">
        <f t="shared" si="9"/>
        <v>3.9909570789941153E-2</v>
      </c>
      <c r="H77" s="46">
        <f t="shared" si="10"/>
        <v>0.21531210685371285</v>
      </c>
    </row>
    <row r="78" spans="1:10" s="4" customFormat="1" ht="24.75" customHeight="1">
      <c r="A78" s="43">
        <v>18</v>
      </c>
      <c r="B78" s="44" t="s">
        <v>20</v>
      </c>
      <c r="C78" s="64">
        <v>346.751541266</v>
      </c>
      <c r="D78" s="64">
        <v>265.55969801500004</v>
      </c>
      <c r="E78" s="64">
        <v>960.38088113699996</v>
      </c>
      <c r="F78" s="64">
        <v>733.08269357499989</v>
      </c>
      <c r="G78" s="46">
        <f t="shared" si="9"/>
        <v>1.2117454250983534E-2</v>
      </c>
      <c r="H78" s="46">
        <f t="shared" si="10"/>
        <v>0.31005804604872417</v>
      </c>
    </row>
    <row r="79" spans="1:10" s="4" customFormat="1" ht="24.75" customHeight="1">
      <c r="A79" s="43">
        <v>19</v>
      </c>
      <c r="B79" s="44" t="s">
        <v>6</v>
      </c>
      <c r="C79" s="64">
        <v>1396.0987278330017</v>
      </c>
      <c r="D79" s="64">
        <v>1334.01</v>
      </c>
      <c r="E79" s="64">
        <v>4886.4578040309989</v>
      </c>
      <c r="F79" s="64">
        <v>4339.6745000000001</v>
      </c>
      <c r="G79" s="46">
        <f t="shared" si="9"/>
        <v>6.165411041878132E-2</v>
      </c>
      <c r="H79" s="46">
        <f t="shared" si="10"/>
        <v>0.12599638614163317</v>
      </c>
    </row>
    <row r="80" spans="1:10" s="4" customFormat="1" ht="24.75" customHeight="1">
      <c r="A80" s="43">
        <v>20</v>
      </c>
      <c r="B80" s="44" t="s">
        <v>1</v>
      </c>
      <c r="C80" s="64">
        <v>3328.2291891</v>
      </c>
      <c r="D80" s="64">
        <v>3007.1153820999998</v>
      </c>
      <c r="E80" s="64">
        <v>12299.4907308</v>
      </c>
      <c r="F80" s="64">
        <v>10670.4648791</v>
      </c>
      <c r="G80" s="46">
        <f t="shared" si="9"/>
        <v>0.15518688383760573</v>
      </c>
      <c r="H80" s="46">
        <f t="shared" si="10"/>
        <v>0.15266681162980411</v>
      </c>
    </row>
    <row r="81" spans="1:10" s="4" customFormat="1" ht="24.75" customHeight="1">
      <c r="A81" s="43">
        <v>21</v>
      </c>
      <c r="B81" s="44" t="s">
        <v>5</v>
      </c>
      <c r="C81" s="64">
        <v>1711.0923</v>
      </c>
      <c r="D81" s="64">
        <v>1516.4349999999999</v>
      </c>
      <c r="E81" s="64">
        <v>5805.1283000000003</v>
      </c>
      <c r="F81" s="64">
        <v>4797.58</v>
      </c>
      <c r="G81" s="46">
        <f t="shared" si="9"/>
        <v>7.3245290465445256E-2</v>
      </c>
      <c r="H81" s="46">
        <f t="shared" si="10"/>
        <v>0.21001177677078869</v>
      </c>
      <c r="J81" s="65"/>
    </row>
    <row r="82" spans="1:10" s="4" customFormat="1" ht="24.75" customHeight="1">
      <c r="A82" s="43">
        <v>22</v>
      </c>
      <c r="B82" s="44" t="s">
        <v>3</v>
      </c>
      <c r="C82" s="64">
        <v>1745.35</v>
      </c>
      <c r="D82" s="64">
        <v>1567.18</v>
      </c>
      <c r="E82" s="64">
        <v>5665.6900000000005</v>
      </c>
      <c r="F82" s="64">
        <v>5286.7</v>
      </c>
      <c r="G82" s="46">
        <f t="shared" si="9"/>
        <v>7.1485949714008665E-2</v>
      </c>
      <c r="H82" s="46">
        <f t="shared" si="10"/>
        <v>7.1687442071613802E-2</v>
      </c>
    </row>
    <row r="83" spans="1:10" s="4" customFormat="1" ht="24.75" customHeight="1">
      <c r="A83" s="43">
        <v>23</v>
      </c>
      <c r="B83" s="44" t="s">
        <v>17</v>
      </c>
      <c r="C83" s="64">
        <v>402.317115</v>
      </c>
      <c r="D83" s="64">
        <v>340.88006275599997</v>
      </c>
      <c r="E83" s="64">
        <v>1311.4530892747969</v>
      </c>
      <c r="F83" s="64">
        <v>1123.793078056</v>
      </c>
      <c r="G83" s="46">
        <f t="shared" si="9"/>
        <v>1.6547052449424417E-2</v>
      </c>
      <c r="H83" s="46">
        <f t="shared" si="10"/>
        <v>0.16698804689509356</v>
      </c>
    </row>
    <row r="84" spans="1:10" s="4" customFormat="1" ht="24.75" customHeight="1">
      <c r="A84" s="43">
        <v>24</v>
      </c>
      <c r="B84" s="44" t="s">
        <v>26</v>
      </c>
      <c r="C84" s="64">
        <v>82.14</v>
      </c>
      <c r="D84" s="64">
        <v>66.540000000000006</v>
      </c>
      <c r="E84" s="64">
        <v>248.55</v>
      </c>
      <c r="F84" s="64">
        <v>226.07999999999998</v>
      </c>
      <c r="G84" s="46">
        <f t="shared" si="9"/>
        <v>3.1360404119210286E-3</v>
      </c>
      <c r="H84" s="46">
        <f t="shared" si="10"/>
        <v>9.938959660297253E-2</v>
      </c>
    </row>
    <row r="85" spans="1:10" s="4" customFormat="1" ht="24.75" customHeight="1">
      <c r="A85" s="43">
        <v>25</v>
      </c>
      <c r="B85" s="44" t="s">
        <v>88</v>
      </c>
      <c r="C85" s="64">
        <v>143.49313833100754</v>
      </c>
      <c r="D85" s="64">
        <v>142.56380225805856</v>
      </c>
      <c r="E85" s="64">
        <v>574.11759824390447</v>
      </c>
      <c r="F85" s="64">
        <v>436.56782223814685</v>
      </c>
      <c r="G85" s="46">
        <f t="shared" si="9"/>
        <v>7.2438382188208632E-3</v>
      </c>
      <c r="H85" s="46">
        <f t="shared" si="10"/>
        <v>0.31507080686932648</v>
      </c>
    </row>
    <row r="86" spans="1:10" s="4" customFormat="1" ht="24.75" customHeight="1">
      <c r="A86" s="43"/>
      <c r="B86" s="47" t="s">
        <v>80</v>
      </c>
      <c r="C86" s="48">
        <f>SUM(C61:C85)</f>
        <v>19900.626963751594</v>
      </c>
      <c r="D86" s="48">
        <f>SUM(D61:D85)</f>
        <v>18959.316700061074</v>
      </c>
      <c r="E86" s="48">
        <f>SUM(E61:E85)</f>
        <v>69717.769633252101</v>
      </c>
      <c r="F86" s="48">
        <f>SUM(F61:F85)</f>
        <v>64049.044903232818</v>
      </c>
      <c r="G86" s="49">
        <f t="shared" si="9"/>
        <v>0.87965295915863717</v>
      </c>
      <c r="H86" s="49">
        <f t="shared" ref="H86" si="11">((E86-F86)/F86)</f>
        <v>8.8505999403796873E-2</v>
      </c>
    </row>
    <row r="87" spans="1:10" s="4" customFormat="1" ht="24.75" customHeight="1">
      <c r="A87" s="43">
        <v>26</v>
      </c>
      <c r="B87" s="44" t="s">
        <v>18</v>
      </c>
      <c r="C87" s="64">
        <v>542.0278227</v>
      </c>
      <c r="D87" s="64">
        <v>428.58</v>
      </c>
      <c r="E87" s="64">
        <v>1326.6503570261102</v>
      </c>
      <c r="F87" s="64">
        <v>1040.5905118000001</v>
      </c>
      <c r="G87" s="46">
        <f t="shared" si="9"/>
        <v>1.6738801577643701E-2</v>
      </c>
      <c r="H87" s="46">
        <f>((E87-F87)/F87)</f>
        <v>0.27490145449364856</v>
      </c>
    </row>
    <row r="88" spans="1:10" s="5" customFormat="1" ht="24.75" customHeight="1">
      <c r="A88" s="43">
        <v>27</v>
      </c>
      <c r="B88" s="44" t="s">
        <v>13</v>
      </c>
      <c r="C88" s="64">
        <v>683.698361879034</v>
      </c>
      <c r="D88" s="64">
        <v>651.25718520471798</v>
      </c>
      <c r="E88" s="64">
        <v>2049.4441600787222</v>
      </c>
      <c r="F88" s="64">
        <v>1929.5597176047181</v>
      </c>
      <c r="G88" s="46">
        <f t="shared" si="9"/>
        <v>2.5858538354385122E-2</v>
      </c>
      <c r="H88" s="46">
        <f t="shared" ref="H88:H94" si="12">((E88-F88)/F88)</f>
        <v>6.2130464986501738E-2</v>
      </c>
    </row>
    <row r="89" spans="1:10" s="4" customFormat="1" ht="24.75" customHeight="1">
      <c r="A89" s="43">
        <v>28</v>
      </c>
      <c r="B89" s="44" t="s">
        <v>23</v>
      </c>
      <c r="C89" s="64">
        <v>177.59212028471384</v>
      </c>
      <c r="D89" s="64">
        <v>129.34400642983897</v>
      </c>
      <c r="E89" s="64">
        <v>532.00230458094052</v>
      </c>
      <c r="F89" s="64">
        <v>410.05488898192425</v>
      </c>
      <c r="G89" s="46">
        <f t="shared" si="9"/>
        <v>6.7124551454473911E-3</v>
      </c>
      <c r="H89" s="46">
        <f t="shared" si="12"/>
        <v>0.29739290732951573</v>
      </c>
    </row>
    <row r="90" spans="1:10" s="4" customFormat="1" ht="24.75" customHeight="1">
      <c r="A90" s="43">
        <v>29</v>
      </c>
      <c r="B90" s="44" t="s">
        <v>81</v>
      </c>
      <c r="C90" s="64">
        <v>594.290979378369</v>
      </c>
      <c r="D90" s="64">
        <v>514.43101493300003</v>
      </c>
      <c r="E90" s="64">
        <v>1631.9013934566044</v>
      </c>
      <c r="F90" s="64">
        <v>1464.175852548</v>
      </c>
      <c r="G90" s="46">
        <f t="shared" si="9"/>
        <v>2.0590258371153289E-2</v>
      </c>
      <c r="H90" s="46">
        <f t="shared" si="12"/>
        <v>0.11455286645844059</v>
      </c>
    </row>
    <row r="91" spans="1:10" s="4" customFormat="1" ht="24.75" customHeight="1">
      <c r="A91" s="43"/>
      <c r="B91" s="44" t="s">
        <v>82</v>
      </c>
      <c r="C91" s="45">
        <v>0</v>
      </c>
      <c r="D91" s="45">
        <v>0</v>
      </c>
      <c r="E91" s="45">
        <v>0</v>
      </c>
      <c r="F91" s="45">
        <v>0</v>
      </c>
      <c r="G91" s="46">
        <f t="shared" si="9"/>
        <v>0</v>
      </c>
      <c r="H91" s="50" t="e">
        <f t="shared" si="12"/>
        <v>#DIV/0!</v>
      </c>
    </row>
    <row r="92" spans="1:10" s="4" customFormat="1" ht="24.75" customHeight="1">
      <c r="A92" s="43">
        <v>30</v>
      </c>
      <c r="B92" s="44" t="s">
        <v>9</v>
      </c>
      <c r="C92" s="64">
        <v>1335.4212184928299</v>
      </c>
      <c r="D92" s="64">
        <v>1302.0458983999999</v>
      </c>
      <c r="E92" s="64">
        <v>3594.6387448831902</v>
      </c>
      <c r="F92" s="64">
        <v>3475.9249761999999</v>
      </c>
      <c r="G92" s="46">
        <f t="shared" si="9"/>
        <v>4.5354787246874945E-2</v>
      </c>
      <c r="H92" s="46">
        <f t="shared" si="12"/>
        <v>3.415314470134858E-2</v>
      </c>
    </row>
    <row r="93" spans="1:10" s="4" customFormat="1" ht="24.75" customHeight="1">
      <c r="A93" s="43">
        <v>31</v>
      </c>
      <c r="B93" s="44" t="s">
        <v>91</v>
      </c>
      <c r="C93" s="64">
        <v>0.62875927033898305</v>
      </c>
      <c r="D93" s="45">
        <v>9.1818999999999998E-3</v>
      </c>
      <c r="E93" s="64">
        <v>1.718059270338983</v>
      </c>
      <c r="F93" s="45">
        <v>9.1818999999999998E-3</v>
      </c>
      <c r="G93" s="46">
        <f t="shared" si="9"/>
        <v>2.1677341789815352E-5</v>
      </c>
      <c r="H93" s="50">
        <f t="shared" si="12"/>
        <v>186.11369872673228</v>
      </c>
    </row>
    <row r="94" spans="1:10" s="4" customFormat="1" ht="24.75" customHeight="1">
      <c r="A94" s="43">
        <v>32</v>
      </c>
      <c r="B94" s="44" t="s">
        <v>93</v>
      </c>
      <c r="C94" s="64">
        <v>4.5683554385762726</v>
      </c>
      <c r="D94" s="45">
        <v>0</v>
      </c>
      <c r="E94" s="64">
        <v>12.283355642892651</v>
      </c>
      <c r="F94" s="45">
        <v>0</v>
      </c>
      <c r="G94" s="46">
        <f t="shared" si="9"/>
        <v>1.5498330191152508E-4</v>
      </c>
      <c r="H94" s="50" t="e">
        <f t="shared" si="12"/>
        <v>#DIV/0!</v>
      </c>
    </row>
    <row r="95" spans="1:10" s="4" customFormat="1" ht="24.75" customHeight="1">
      <c r="A95" s="43"/>
      <c r="B95" s="47" t="s">
        <v>83</v>
      </c>
      <c r="C95" s="51">
        <f>SUM(C87:C94)</f>
        <v>3338.2276174438621</v>
      </c>
      <c r="D95" s="51">
        <f>SUM(D87:D94)</f>
        <v>3025.6672868675569</v>
      </c>
      <c r="E95" s="51">
        <f>SUM(E87:E94)</f>
        <v>9148.6383749387987</v>
      </c>
      <c r="F95" s="51">
        <f>SUM(F87:F94)</f>
        <v>8320.3151290346432</v>
      </c>
      <c r="G95" s="49">
        <f t="shared" si="9"/>
        <v>0.11543150133920578</v>
      </c>
      <c r="H95" s="49">
        <f t="shared" ref="H95:H99" si="13">((E95-F95)/F95)</f>
        <v>9.9554311712741705E-2</v>
      </c>
    </row>
    <row r="96" spans="1:10" s="4" customFormat="1" ht="24.75" customHeight="1">
      <c r="A96" s="52">
        <v>33</v>
      </c>
      <c r="B96" s="44" t="s">
        <v>27</v>
      </c>
      <c r="C96" s="64">
        <v>40.057953504505406</v>
      </c>
      <c r="D96" s="64">
        <v>170.07</v>
      </c>
      <c r="E96" s="64">
        <v>67.935969178465257</v>
      </c>
      <c r="F96" s="64">
        <v>181.71659986500001</v>
      </c>
      <c r="G96" s="46">
        <f t="shared" si="9"/>
        <v>8.5717137303032982E-4</v>
      </c>
      <c r="H96" s="46">
        <f t="shared" si="13"/>
        <v>-0.62614329550004832</v>
      </c>
    </row>
    <row r="97" spans="1:8" s="4" customFormat="1" ht="24.75" customHeight="1">
      <c r="A97" s="52">
        <v>34</v>
      </c>
      <c r="B97" s="44" t="s">
        <v>24</v>
      </c>
      <c r="C97" s="64">
        <v>125.4</v>
      </c>
      <c r="D97" s="64">
        <v>117.9</v>
      </c>
      <c r="E97" s="64">
        <v>321.64999999999998</v>
      </c>
      <c r="F97" s="64">
        <v>308.64</v>
      </c>
      <c r="G97" s="46">
        <f t="shared" si="9"/>
        <v>4.0583681291265286E-3</v>
      </c>
      <c r="H97" s="46">
        <f t="shared" si="13"/>
        <v>4.2152669777086545E-2</v>
      </c>
    </row>
    <row r="98" spans="1:8" s="4" customFormat="1" ht="26.25">
      <c r="A98" s="43"/>
      <c r="B98" s="47" t="s">
        <v>84</v>
      </c>
      <c r="C98" s="53">
        <f>SUM(C96:C97)</f>
        <v>165.45795350450541</v>
      </c>
      <c r="D98" s="53">
        <f t="shared" ref="D98:F98" si="14">SUM(D96:D97)</f>
        <v>287.97000000000003</v>
      </c>
      <c r="E98" s="53">
        <f t="shared" si="14"/>
        <v>389.58596917846523</v>
      </c>
      <c r="F98" s="53">
        <f t="shared" si="14"/>
        <v>490.35659986500002</v>
      </c>
      <c r="G98" s="46">
        <f t="shared" si="9"/>
        <v>4.9155395021568586E-3</v>
      </c>
      <c r="H98" s="49">
        <f t="shared" si="13"/>
        <v>-0.2055047912361696</v>
      </c>
    </row>
    <row r="99" spans="1:8" s="4" customFormat="1" ht="26.25">
      <c r="A99" s="43"/>
      <c r="B99" s="54" t="s">
        <v>85</v>
      </c>
      <c r="C99" s="55">
        <f>(C86+C95+C98)</f>
        <v>23404.312534699962</v>
      </c>
      <c r="D99" s="55">
        <f>(D86+D95+D98)</f>
        <v>22272.953986928631</v>
      </c>
      <c r="E99" s="55">
        <f>(E86+E95+E98)</f>
        <v>79255.993977369377</v>
      </c>
      <c r="F99" s="55">
        <f>(F86+F95+F98)</f>
        <v>72859.716632132462</v>
      </c>
      <c r="G99" s="49">
        <f t="shared" si="9"/>
        <v>1</v>
      </c>
      <c r="H99" s="49">
        <f t="shared" si="13"/>
        <v>8.7788940732937734E-2</v>
      </c>
    </row>
    <row r="100" spans="1:8" s="6" customFormat="1" ht="15">
      <c r="A100" s="78" t="s">
        <v>86</v>
      </c>
      <c r="B100" s="78"/>
      <c r="C100" s="78"/>
      <c r="D100" s="78"/>
      <c r="E100" s="78"/>
      <c r="F100" s="78"/>
      <c r="G100" s="78"/>
      <c r="H100" s="78"/>
    </row>
    <row r="101" spans="1:8" s="6" customFormat="1" ht="15" customHeight="1">
      <c r="A101" s="78" t="s">
        <v>87</v>
      </c>
      <c r="B101" s="78"/>
      <c r="C101" s="78"/>
      <c r="D101" s="37"/>
      <c r="E101" s="37"/>
      <c r="F101" s="37"/>
      <c r="G101" s="37"/>
      <c r="H101" s="37"/>
    </row>
    <row r="102" spans="1:8" ht="15.75">
      <c r="A102" s="77"/>
      <c r="B102" s="77"/>
      <c r="C102" s="77"/>
      <c r="D102" s="10"/>
      <c r="E102" s="9"/>
      <c r="F102" s="9"/>
      <c r="G102" s="8"/>
      <c r="H102" s="8"/>
    </row>
    <row r="65164" spans="1:7" s="11" customFormat="1">
      <c r="A65164" s="7"/>
      <c r="B65164" s="13"/>
      <c r="C65164" s="12"/>
      <c r="D65164" s="12"/>
      <c r="E65164" s="12"/>
      <c r="F65164" s="12"/>
      <c r="G65164" s="1">
        <v>0</v>
      </c>
    </row>
  </sheetData>
  <sortState ref="B59:H83">
    <sortCondition ref="B59:B83"/>
  </sortState>
  <mergeCells count="26">
    <mergeCell ref="A102:C102"/>
    <mergeCell ref="A55:H55"/>
    <mergeCell ref="A100:H100"/>
    <mergeCell ref="C58:F58"/>
    <mergeCell ref="G58:G60"/>
    <mergeCell ref="H58:H60"/>
    <mergeCell ref="A59:A60"/>
    <mergeCell ref="B59:B60"/>
    <mergeCell ref="C59:D59"/>
    <mergeCell ref="E59:F59"/>
    <mergeCell ref="A101:C101"/>
    <mergeCell ref="A56:H56"/>
    <mergeCell ref="A51:D51"/>
    <mergeCell ref="A52:H52"/>
    <mergeCell ref="A54:H54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</mergeCells>
  <printOptions horizontalCentered="1" verticalCentered="1"/>
  <pageMargins left="0.2" right="0.2" top="0.5" bottom="0.25" header="0" footer="0"/>
  <pageSetup paperSize="9" scale="43" orientation="landscape" r:id="rId1"/>
  <headerFooter alignWithMargins="0"/>
  <rowBreaks count="1" manualBreakCount="1">
    <brk id="5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2025-05-19T09:32:16Z</cp:lastPrinted>
  <dcterms:created xsi:type="dcterms:W3CDTF">2024-07-04T10:52:00Z</dcterms:created>
  <dcterms:modified xsi:type="dcterms:W3CDTF">2025-07-11T06:18:42Z</dcterms:modified>
</cp:coreProperties>
</file>