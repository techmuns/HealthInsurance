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vraj\Desktop\GDP FLASH WEBSITE\"/>
    </mc:Choice>
  </mc:AlternateContent>
  <bookViews>
    <workbookView xWindow="0" yWindow="0" windowWidth="25125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2" l="1"/>
  <c r="E37" i="2"/>
  <c r="F86" i="2" l="1"/>
  <c r="E86" i="2"/>
  <c r="D86" i="2"/>
  <c r="C86" i="2"/>
  <c r="C98" i="2"/>
  <c r="D95" i="2"/>
  <c r="C95" i="2"/>
  <c r="F95" i="2"/>
  <c r="E95" i="2"/>
  <c r="H39" i="2" l="1"/>
  <c r="H40" i="2"/>
  <c r="H41" i="2"/>
  <c r="H42" i="2"/>
  <c r="H43" i="2"/>
  <c r="H44" i="2"/>
  <c r="H45" i="2"/>
  <c r="H88" i="2"/>
  <c r="H89" i="2"/>
  <c r="H90" i="2"/>
  <c r="H91" i="2"/>
  <c r="H92" i="2"/>
  <c r="H93" i="2"/>
  <c r="H94" i="2"/>
  <c r="H87" i="2"/>
  <c r="F46" i="2" l="1"/>
  <c r="D46" i="2"/>
  <c r="C46" i="2"/>
  <c r="H85" i="2" l="1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46" i="2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H96" i="2"/>
  <c r="H97" i="2"/>
  <c r="D98" i="2"/>
  <c r="D99" i="2" s="1"/>
  <c r="E98" i="2"/>
  <c r="E99" i="2" s="1"/>
  <c r="F98" i="2"/>
  <c r="F99" i="2" s="1"/>
  <c r="G61" i="2" l="1"/>
  <c r="G62" i="2"/>
  <c r="G82" i="2"/>
  <c r="G63" i="2"/>
  <c r="G83" i="2"/>
  <c r="G64" i="2"/>
  <c r="G84" i="2"/>
  <c r="G65" i="2"/>
  <c r="G85" i="2"/>
  <c r="G66" i="2"/>
  <c r="G67" i="2"/>
  <c r="G68" i="2"/>
  <c r="G88" i="2"/>
  <c r="G69" i="2"/>
  <c r="G89" i="2"/>
  <c r="G70" i="2"/>
  <c r="G90" i="2"/>
  <c r="G71" i="2"/>
  <c r="G91" i="2"/>
  <c r="G72" i="2"/>
  <c r="G92" i="2"/>
  <c r="G73" i="2"/>
  <c r="G93" i="2"/>
  <c r="G74" i="2"/>
  <c r="G94" i="2"/>
  <c r="G75" i="2"/>
  <c r="G76" i="2"/>
  <c r="G96" i="2"/>
  <c r="G77" i="2"/>
  <c r="G78" i="2"/>
  <c r="G79" i="2"/>
  <c r="G80" i="2"/>
  <c r="G87" i="2"/>
  <c r="G95" i="2"/>
  <c r="G97" i="2"/>
  <c r="G98" i="2"/>
  <c r="G99" i="2"/>
  <c r="G81" i="2"/>
  <c r="G86" i="2"/>
  <c r="C99" i="2"/>
  <c r="H98" i="2"/>
  <c r="H95" i="2"/>
  <c r="H86" i="2"/>
  <c r="G49" i="2" l="1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<sst xmlns="http://schemas.openxmlformats.org/spreadsheetml/2006/main" count="122" uniqueCount="106">
  <si>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</si>
  <si>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2023-24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</si>
  <si>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</si>
  <si>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</si>
  <si>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</si>
  <si>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</si>
  <si>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</si>
  <si>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</si>
  <si>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</si>
  <si>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</si>
  <si>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</si>
  <si>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</si>
  <si>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</si>
  <si>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</si>
  <si>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</si>
  <si>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</si>
  <si>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</si>
  <si>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</si>
  <si>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</si>
  <si>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</si>
  <si>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</si>
  <si>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</si>
  <si>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</si>
  <si>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</si>
  <si>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</si>
  <si>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</si>
  <si>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</si>
  <si>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</si>
  <si>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</si>
  <si>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</si>
  <si>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</si>
  <si>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</si>
  <si>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</si>
  <si>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</si>
  <si>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</si>
  <si>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</si>
  <si>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</si>
  <si>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</si>
  <si>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</si>
  <si>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</si>
  <si>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</si>
  <si>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</si>
  <si>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</si>
  <si>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</si>
  <si>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</si>
  <si>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</si>
  <si>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</si>
  <si>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</si>
  <si>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</si>
  <si>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</si>
  <si>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</si>
  <si>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</si>
  <si>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</si>
  <si>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</si>
  <si>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</si>
  <si>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</si>
  <si>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</si>
  <si>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</si>
  <si>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</si>
  <si>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</si>
  <si>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</si>
  <si>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</si>
  <si>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</si>
  <si>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</si>
  <si>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</si>
  <si>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</si>
  <si>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</si>
  <si>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</si>
  <si>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</si>
  <si>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</si>
  <si>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</si>
  <si>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</si>
  <si>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</si>
  <si>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</si>
  <si>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</si>
  <si>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</si>
  <si>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</si>
  <si>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</si>
  <si>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</si>
  <si>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</si>
  <si>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</si>
  <si>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</si>
  <si>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</si>
  <si>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</si>
  <si>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</si>
  <si>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</si>
  <si>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</si>
  <si>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</si>
  <si>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</si>
  <si>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</si>
  <si>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</si>
  <si>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</si>
  <si>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</si>
  <si>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</si>
  <si>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</si>
  <si>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</si>
  <si>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</si>
  <si>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</si>
  <si>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GROSS DIRECT PREMIUM UNDERWRITTEN FOR AND UPTO THE MONTH  OF JANUARY, 2025</t>
  </si>
  <si>
    <t>जनवरी , 2025 माह और तक के लिए सकल प्रत्यक्ष प्रीमियम अधिग्रहण</t>
  </si>
  <si>
    <t>जनवरी  माह के लिए</t>
  </si>
  <si>
    <t>जनवरी  माह तक</t>
  </si>
  <si>
    <t>For the Month of JAN</t>
  </si>
  <si>
    <t>Upto the Month of JAN</t>
  </si>
  <si>
    <t>Market Share upto the Month of JAN, 2025 (%)</t>
  </si>
  <si>
    <t>जनवरी , 2025 माह तक बाजार शेयर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</si>
</sst>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Rupee Foradian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10" fillId="0" borderId="0" xfId="3" applyFont="1" applyBorder="1" applyAlignment="1">
      <alignment horizontal="right" vertical="center"/>
    </xf>
    <xf numFmtId="164" fontId="10" fillId="0" borderId="0" xfId="3" applyNumberFormat="1" applyFont="1" applyBorder="1" applyAlignment="1">
      <alignment horizontal="right" vertical="center"/>
    </xf>
    <xf numFmtId="2" fontId="10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2" fontId="10" fillId="0" borderId="0" xfId="3" applyNumberFormat="1" applyFont="1" applyBorder="1" applyAlignment="1">
      <alignment horizontal="right" vertical="center"/>
    </xf>
    <xf numFmtId="0" fontId="10" fillId="0" borderId="0" xfId="3" applyFont="1" applyBorder="1" applyAlignment="1">
      <alignment vertical="center"/>
    </xf>
    <xf numFmtId="2" fontId="3" fillId="0" borderId="0" xfId="3" applyNumberFormat="1" applyFont="1" applyFill="1" applyBorder="1" applyAlignment="1">
      <alignment horizontal="right" vertical="center"/>
    </xf>
    <xf numFmtId="2" fontId="11" fillId="0" borderId="0" xfId="4" applyNumberFormat="1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 wrapText="1"/>
    </xf>
    <xf numFmtId="164" fontId="3" fillId="0" borderId="0" xfId="3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4" fillId="0" borderId="0" xfId="3" quotePrefix="1" applyFont="1" applyFill="1" applyBorder="1" applyAlignment="1">
      <alignment horizontal="center"/>
    </xf>
    <xf numFmtId="0" fontId="14" fillId="0" borderId="0" xfId="3" quotePrefix="1" applyFont="1" applyFill="1" applyBorder="1" applyAlignment="1">
      <alignment horizontal="right"/>
    </xf>
    <xf numFmtId="0" fontId="15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wrapText="1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vertical="center"/>
    </xf>
    <xf numFmtId="0" fontId="19" fillId="0" borderId="0" xfId="3" applyFont="1" applyBorder="1" applyAlignment="1">
      <alignment horizontal="center"/>
    </xf>
    <xf numFmtId="0" fontId="20" fillId="0" borderId="0" xfId="3" applyFont="1" applyFill="1" applyBorder="1" applyAlignment="1">
      <alignment horizontal="center" wrapText="1"/>
    </xf>
    <xf numFmtId="0" fontId="20" fillId="0" borderId="0" xfId="3" applyFont="1" applyFill="1" applyBorder="1" applyAlignment="1">
      <alignment horizontal="right" wrapText="1"/>
    </xf>
    <xf numFmtId="0" fontId="20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3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vertical="center" wrapText="1"/>
    </xf>
    <xf numFmtId="0" fontId="23" fillId="0" borderId="0" xfId="3" applyFont="1" applyFill="1" applyBorder="1" applyAlignment="1">
      <alignment horizontal="right" vertical="center"/>
    </xf>
    <xf numFmtId="0" fontId="23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0" fontId="9" fillId="0" borderId="0" xfId="0" applyFont="1" applyFill="1" applyBorder="1" applyAlignment="1">
      <alignment wrapText="1"/>
    </xf>
    <xf numFmtId="10" fontId="9" fillId="0" borderId="0" xfId="2" applyNumberFormat="1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2" fontId="24" fillId="0" borderId="0" xfId="0" applyNumberFormat="1" applyFont="1" applyAlignment="1">
      <alignment horizontal="right"/>
    </xf>
    <xf numFmtId="0" fontId="16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5" fillId="0" borderId="2" xfId="3" applyFont="1" applyFill="1" applyBorder="1" applyAlignment="1">
      <alignment vertical="center"/>
    </xf>
    <xf numFmtId="0" fontId="15" fillId="0" borderId="1" xfId="3" applyFont="1" applyFill="1" applyBorder="1" applyAlignment="1">
      <alignment horizontal="center"/>
    </xf>
    <xf numFmtId="0" fontId="15" fillId="0" borderId="1" xfId="3" applyFont="1" applyFill="1" applyBorder="1" applyAlignment="1">
      <alignment horizontal="right"/>
    </xf>
    <xf numFmtId="1" fontId="15" fillId="0" borderId="3" xfId="3" applyNumberFormat="1" applyFont="1" applyFill="1" applyBorder="1" applyAlignment="1">
      <alignment horizontal="center" vertical="center"/>
    </xf>
    <xf numFmtId="2" fontId="21" fillId="0" borderId="3" xfId="3" applyNumberFormat="1" applyFont="1" applyFill="1" applyBorder="1" applyAlignment="1">
      <alignment horizontal="left" vertical="center" wrapText="1"/>
    </xf>
    <xf numFmtId="164" fontId="28" fillId="0" borderId="3" xfId="1" applyFont="1" applyFill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2" fillId="0" borderId="3" xfId="1" applyFont="1" applyFill="1" applyBorder="1" applyAlignment="1">
      <alignment horizontal="left" vertical="center" wrapText="1"/>
    </xf>
    <xf numFmtId="43" fontId="25" fillId="0" borderId="3" xfId="0" applyNumberFormat="1" applyFont="1" applyBorder="1" applyAlignment="1">
      <alignment horizontal="right" vertical="center"/>
    </xf>
    <xf numFmtId="10" fontId="25" fillId="0" borderId="3" xfId="0" applyNumberFormat="1" applyFont="1" applyBorder="1" applyAlignment="1">
      <alignment vertical="center"/>
    </xf>
    <xf numFmtId="10" fontId="27" fillId="0" borderId="3" xfId="0" applyNumberFormat="1" applyFont="1" applyBorder="1" applyAlignment="1">
      <alignment horizontal="right" vertical="center"/>
    </xf>
    <xf numFmtId="164" fontId="26" fillId="0" borderId="3" xfId="1" applyFont="1" applyFill="1" applyBorder="1" applyAlignment="1">
      <alignment horizontal="right" vertical="center"/>
    </xf>
    <xf numFmtId="0" fontId="15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2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/>
    </xf>
    <xf numFmtId="0" fontId="22" fillId="0" borderId="3" xfId="3" quotePrefix="1" applyFont="1" applyFill="1" applyBorder="1" applyAlignment="1">
      <alignment vertical="center"/>
    </xf>
    <xf numFmtId="10" fontId="25" fillId="0" borderId="3" xfId="0" applyNumberFormat="1" applyFont="1" applyBorder="1" applyAlignment="1">
      <alignment horizontal="right" vertical="center"/>
    </xf>
    <xf numFmtId="10" fontId="25" fillId="0" borderId="3" xfId="0" applyNumberFormat="1" applyFont="1" applyBorder="1" applyAlignment="1">
      <alignment horizontal="right"/>
    </xf>
    <xf numFmtId="10" fontId="27" fillId="0" borderId="3" xfId="0" applyNumberFormat="1" applyFont="1" applyBorder="1" applyAlignment="1">
      <alignment horizontal="right"/>
    </xf>
    <xf numFmtId="0" fontId="15" fillId="0" borderId="3" xfId="3" applyFont="1" applyFill="1" applyBorder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6" fillId="0" borderId="0" xfId="3" applyFont="1" applyFill="1" applyBorder="1" applyAlignment="1">
      <alignment horizontal="right" vertical="center"/>
    </xf>
    <xf numFmtId="0" fontId="16" fillId="0" borderId="0" xfId="3" quotePrefix="1" applyFont="1" applyFill="1" applyBorder="1" applyAlignment="1">
      <alignment horizontal="center" wrapText="1"/>
    </xf>
    <xf numFmtId="0" fontId="16" fillId="0" borderId="0" xfId="3" applyFont="1" applyFill="1" applyBorder="1" applyAlignment="1">
      <alignment horizontal="center"/>
    </xf>
    <xf numFmtId="0" fontId="16" fillId="0" borderId="0" xfId="3" applyFont="1" applyFill="1" applyBorder="1" applyAlignment="1">
      <alignment horizontal="center" wrapText="1"/>
    </xf>
    <xf numFmtId="0" fontId="14" fillId="0" borderId="0" xfId="3" quotePrefix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3" fillId="0" borderId="0" xfId="3" applyFont="1" applyFill="1" applyBorder="1" applyAlignment="1">
      <alignment horizontal="center" vertical="center"/>
    </xf>
    <xf numFmtId="0" fontId="15" fillId="0" borderId="2" xfId="3" applyFont="1" applyFill="1" applyBorder="1" applyAlignment="1">
      <alignment horizontal="right"/>
    </xf>
    <xf numFmtId="0" fontId="15" fillId="0" borderId="2" xfId="3" quotePrefix="1" applyFont="1" applyFill="1" applyBorder="1" applyAlignment="1">
      <alignment horizontal="center" vertical="center" wrapText="1"/>
    </xf>
    <xf numFmtId="0" fontId="15" fillId="0" borderId="0" xfId="3" quotePrefix="1" applyFont="1" applyFill="1" applyBorder="1" applyAlignment="1">
      <alignment horizontal="center" vertical="center" wrapText="1"/>
    </xf>
    <xf numFmtId="0" fontId="15" fillId="0" borderId="1" xfId="3" quotePrefix="1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right" wrapText="1"/>
    </xf>
    <xf numFmtId="0" fontId="15" fillId="0" borderId="0" xfId="3" applyFont="1" applyFill="1" applyBorder="1" applyAlignment="1">
      <alignment horizontal="right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53"/>
  <sheetViews>
    <sheetView tabSelected="1" view="pageBreakPreview" zoomScale="98" zoomScaleNormal="98" zoomScaleSheetLayoutView="98" workbookViewId="0">
      <selection activeCell="C10" sqref="C10:F10"/>
    </sheetView>
  </sheetViews>
  <sheetFormatPr defaultRowHeight="12.75"/>
  <cols>
    <col min="1" max="1" width="12.85546875" style="7" customWidth="1"/>
    <col min="2" max="2" width="93.42578125" style="23" customWidth="1"/>
    <col min="3" max="4" width="21.7109375" style="22" bestFit="1" customWidth="1"/>
    <col min="5" max="6" width="25.140625" style="22" bestFit="1" customWidth="1"/>
    <col min="7" max="7" width="28" style="1" customWidth="1"/>
    <col min="8" max="8" width="29.85546875" style="14" customWidth="1"/>
    <col min="9" max="16384" width="9.140625" style="1"/>
  </cols>
  <sheetData>
    <row r="1" spans="1:8" ht="15">
      <c r="A1" s="24"/>
      <c r="B1" s="25"/>
      <c r="C1" s="26"/>
      <c r="D1" s="26"/>
      <c r="E1" s="26"/>
      <c r="F1" s="26"/>
      <c r="G1" s="27"/>
      <c r="H1" s="1"/>
    </row>
    <row r="2" spans="1:8" s="2" customFormat="1" ht="36" customHeight="1">
      <c r="A2" s="86" t="s">
        <v>31</v>
      </c>
      <c r="B2" s="86"/>
      <c r="C2" s="86"/>
      <c r="D2" s="86"/>
      <c r="E2" s="86"/>
      <c r="F2" s="86"/>
      <c r="G2" s="86"/>
      <c r="H2" s="86"/>
    </row>
    <row r="3" spans="1:8" s="2" customFormat="1" ht="36" customHeight="1">
      <c r="A3" s="77" t="s">
        <v>32</v>
      </c>
      <c r="B3" s="77"/>
      <c r="C3" s="77"/>
      <c r="D3" s="77"/>
      <c r="E3" s="77"/>
      <c r="F3" s="77"/>
      <c r="G3" s="77"/>
      <c r="H3" s="77"/>
    </row>
    <row r="4" spans="1:8" s="2" customFormat="1" ht="36" customHeight="1">
      <c r="A4" s="83" t="s">
        <v>99</v>
      </c>
      <c r="B4" s="83"/>
      <c r="C4" s="83"/>
      <c r="D4" s="83"/>
      <c r="E4" s="83"/>
      <c r="F4" s="83"/>
      <c r="G4" s="83"/>
      <c r="H4" s="83"/>
    </row>
    <row r="5" spans="1:8" s="2" customFormat="1" ht="6" customHeight="1">
      <c r="A5" s="28"/>
      <c r="B5" s="28"/>
      <c r="C5" s="29"/>
      <c r="D5" s="29"/>
      <c r="E5" s="29"/>
      <c r="F5" s="29"/>
      <c r="G5" s="28"/>
      <c r="H5" s="28"/>
    </row>
    <row r="6" spans="1:8" s="4" customFormat="1" ht="33" customHeight="1">
      <c r="A6" s="52"/>
      <c r="B6" s="53"/>
      <c r="C6" s="87" t="s">
        <v>33</v>
      </c>
      <c r="D6" s="87"/>
      <c r="E6" s="87"/>
      <c r="F6" s="87"/>
      <c r="G6" s="88" t="s">
        <v>105</v>
      </c>
      <c r="H6" s="88" t="s">
        <v>34</v>
      </c>
    </row>
    <row r="7" spans="1:8" s="4" customFormat="1" ht="11.25" customHeight="1">
      <c r="B7" s="30"/>
      <c r="C7" s="91" t="s">
        <v>35</v>
      </c>
      <c r="D7" s="91"/>
      <c r="E7" s="91"/>
      <c r="F7" s="91"/>
      <c r="G7" s="89"/>
      <c r="H7" s="89"/>
    </row>
    <row r="8" spans="1:8" s="32" customFormat="1" ht="32.25" customHeight="1">
      <c r="A8" s="51"/>
      <c r="B8" s="31"/>
      <c r="C8" s="92" t="s">
        <v>100</v>
      </c>
      <c r="D8" s="92"/>
      <c r="E8" s="92" t="s">
        <v>101</v>
      </c>
      <c r="F8" s="92"/>
      <c r="G8" s="89"/>
      <c r="H8" s="89"/>
    </row>
    <row r="9" spans="1:8" s="33" customFormat="1" ht="9" customHeight="1">
      <c r="A9" s="51"/>
      <c r="B9" s="31"/>
      <c r="C9" s="91" t="s">
        <v>36</v>
      </c>
      <c r="D9" s="91"/>
      <c r="E9" s="91" t="s">
        <v>35</v>
      </c>
      <c r="F9" s="91"/>
      <c r="G9" s="89"/>
      <c r="H9" s="89"/>
    </row>
    <row r="10" spans="1:8" s="34" customFormat="1" ht="37.5" customHeight="1">
      <c r="A10" s="54" t="s">
        <v>37</v>
      </c>
      <c r="B10" s="54" t="s">
        <v>38</v>
      </c>
      <c r="C10" s="55" t="s">
        <v>0</v>
      </c>
      <c r="D10" s="55" t="s">
        <v>1</v>
      </c>
      <c r="E10" s="55" t="s">
        <v>0</v>
      </c>
      <c r="F10" s="55" t="s">
        <v>1</v>
      </c>
      <c r="G10" s="90"/>
      <c r="H10" s="90"/>
    </row>
    <row r="11" spans="1:8" s="3" customFormat="1" ht="13.5" customHeight="1">
      <c r="A11" s="35" t="s">
        <v>35</v>
      </c>
      <c r="B11" s="35" t="s">
        <v>36</v>
      </c>
      <c r="C11" s="36" t="s">
        <v>36</v>
      </c>
      <c r="D11" s="36" t="s">
        <v>35</v>
      </c>
      <c r="E11" s="36" t="s">
        <v>35</v>
      </c>
      <c r="F11" s="36" t="s">
        <v>35</v>
      </c>
      <c r="G11" s="37" t="s">
        <v>35</v>
      </c>
      <c r="H11" s="37" t="s">
        <v>35</v>
      </c>
    </row>
    <row r="12" spans="1:8" s="4" customFormat="1" ht="25.5">
      <c r="A12" s="65">
        <v>1</v>
      </c>
      <c r="B12" s="69" t="s">
        <v>39</v>
      </c>
      <c r="C12" s="58">
        <v>184.03348540000002</v>
      </c>
      <c r="D12" s="58">
        <v>177.79356340000001</v>
      </c>
      <c r="E12" s="58">
        <v>1739.8668126972727</v>
      </c>
      <c r="F12" s="58">
        <v>1541.5528899999999</v>
      </c>
      <c r="G12" s="70">
        <f t="shared" ref="G12:G36" si="0">E12/$E$50</f>
        <v>6.714298141646393E-3</v>
      </c>
      <c r="H12" s="70">
        <f>((E12-F12)/F12)</f>
        <v>0.12864555214662327</v>
      </c>
    </row>
    <row r="13" spans="1:8" s="4" customFormat="1" ht="25.5">
      <c r="A13" s="65">
        <v>2</v>
      </c>
      <c r="B13" s="69" t="s">
        <v>40</v>
      </c>
      <c r="C13" s="58">
        <v>1674.8054213000003</v>
      </c>
      <c r="D13" s="58">
        <v>1975.0371639000005</v>
      </c>
      <c r="E13" s="58">
        <v>18787.259995400003</v>
      </c>
      <c r="F13" s="58">
        <v>17515.163291600002</v>
      </c>
      <c r="G13" s="70">
        <f t="shared" si="0"/>
        <v>7.2501678837235281E-2</v>
      </c>
      <c r="H13" s="70">
        <f t="shared" ref="H13:H46" si="1">((E13-F13)/F13)</f>
        <v>7.2628309689243914E-2</v>
      </c>
    </row>
    <row r="14" spans="1:8" s="4" customFormat="1" ht="25.5">
      <c r="A14" s="65">
        <v>3</v>
      </c>
      <c r="B14" s="69" t="s">
        <v>41</v>
      </c>
      <c r="C14" s="58">
        <v>733.47844926189418</v>
      </c>
      <c r="D14" s="58">
        <v>666.10686219607771</v>
      </c>
      <c r="E14" s="58">
        <v>6828.5275100385261</v>
      </c>
      <c r="F14" s="58">
        <v>6191.4943489247753</v>
      </c>
      <c r="G14" s="70">
        <f t="shared" si="0"/>
        <v>2.6351884659352013E-2</v>
      </c>
      <c r="H14" s="70">
        <f t="shared" si="1"/>
        <v>0.10288843455447537</v>
      </c>
    </row>
    <row r="15" spans="1:8" s="4" customFormat="1" ht="25.5">
      <c r="A15" s="65">
        <v>4</v>
      </c>
      <c r="B15" s="69" t="s">
        <v>42</v>
      </c>
      <c r="C15" s="58">
        <v>794.95474057629224</v>
      </c>
      <c r="D15" s="58">
        <v>706.92061759599005</v>
      </c>
      <c r="E15" s="58">
        <v>4511.7113837281431</v>
      </c>
      <c r="F15" s="58">
        <v>4059.301344531038</v>
      </c>
      <c r="G15" s="70">
        <f t="shared" si="0"/>
        <v>1.7411088675487921E-2</v>
      </c>
      <c r="H15" s="70">
        <f t="shared" si="1"/>
        <v>0.11145022278442622</v>
      </c>
    </row>
    <row r="16" spans="1:8" s="4" customFormat="1" ht="25.5">
      <c r="A16" s="65">
        <v>5</v>
      </c>
      <c r="B16" s="69" t="s">
        <v>43</v>
      </c>
      <c r="C16" s="58">
        <v>726.45</v>
      </c>
      <c r="D16" s="58">
        <v>674.5</v>
      </c>
      <c r="E16" s="58">
        <v>7217.6387516179993</v>
      </c>
      <c r="F16" s="58">
        <v>6645.0362350100004</v>
      </c>
      <c r="G16" s="70">
        <f t="shared" si="0"/>
        <v>2.785349895946072E-2</v>
      </c>
      <c r="H16" s="70">
        <f t="shared" si="1"/>
        <v>8.6169961510697043E-2</v>
      </c>
    </row>
    <row r="17" spans="1:8" s="4" customFormat="1" ht="25.5">
      <c r="A17" s="65">
        <v>6</v>
      </c>
      <c r="B17" s="69" t="s">
        <v>44</v>
      </c>
      <c r="C17" s="58">
        <v>1082.069301743009</v>
      </c>
      <c r="D17" s="58">
        <v>1508.5214304419999</v>
      </c>
      <c r="E17" s="58">
        <v>13293.977476533448</v>
      </c>
      <c r="F17" s="58">
        <v>14912.547445621998</v>
      </c>
      <c r="G17" s="70">
        <f t="shared" si="0"/>
        <v>5.1302621335365534E-2</v>
      </c>
      <c r="H17" s="70">
        <f t="shared" si="1"/>
        <v>-0.10853745646011188</v>
      </c>
    </row>
    <row r="18" spans="1:8" s="4" customFormat="1" ht="25.5">
      <c r="A18" s="65">
        <v>7</v>
      </c>
      <c r="B18" s="69" t="s">
        <v>45</v>
      </c>
      <c r="C18" s="58">
        <v>2561.3250007490024</v>
      </c>
      <c r="D18" s="58">
        <v>2379.12</v>
      </c>
      <c r="E18" s="58">
        <v>23184.133366156999</v>
      </c>
      <c r="F18" s="58">
        <v>21081.84</v>
      </c>
      <c r="G18" s="70">
        <f t="shared" si="0"/>
        <v>8.9469597580717208E-2</v>
      </c>
      <c r="H18" s="70">
        <f t="shared" si="1"/>
        <v>9.9720582556218934E-2</v>
      </c>
    </row>
    <row r="19" spans="1:8" s="4" customFormat="1" ht="25.5">
      <c r="A19" s="65">
        <v>8</v>
      </c>
      <c r="B19" s="69" t="s">
        <v>46</v>
      </c>
      <c r="C19" s="58">
        <v>798.75101670999913</v>
      </c>
      <c r="D19" s="58">
        <v>867.76452258099994</v>
      </c>
      <c r="E19" s="58">
        <v>7109.5007542379972</v>
      </c>
      <c r="F19" s="58">
        <v>8493.1501890830004</v>
      </c>
      <c r="G19" s="70">
        <f t="shared" si="0"/>
        <v>2.7436184973383647E-2</v>
      </c>
      <c r="H19" s="70">
        <f t="shared" si="1"/>
        <v>-0.1629135720010616</v>
      </c>
    </row>
    <row r="20" spans="1:8" s="4" customFormat="1" ht="25.5">
      <c r="A20" s="65">
        <v>9</v>
      </c>
      <c r="B20" s="69" t="s">
        <v>47</v>
      </c>
      <c r="C20" s="58">
        <v>19.36</v>
      </c>
      <c r="D20" s="58">
        <v>12.736109668000001</v>
      </c>
      <c r="E20" s="58">
        <v>734.6762976966204</v>
      </c>
      <c r="F20" s="58">
        <v>527.39711938200003</v>
      </c>
      <c r="G20" s="70">
        <f t="shared" si="0"/>
        <v>2.8351800634031387E-3</v>
      </c>
      <c r="H20" s="70">
        <f t="shared" si="1"/>
        <v>0.39302296257800678</v>
      </c>
    </row>
    <row r="21" spans="1:8" s="4" customFormat="1" ht="25.5">
      <c r="A21" s="65">
        <v>10</v>
      </c>
      <c r="B21" s="69" t="s">
        <v>48</v>
      </c>
      <c r="C21" s="58">
        <v>220.2702081847622</v>
      </c>
      <c r="D21" s="58">
        <v>177.15889159499685</v>
      </c>
      <c r="E21" s="58">
        <v>1921.4468690998492</v>
      </c>
      <c r="F21" s="58">
        <v>1823.3854814478225</v>
      </c>
      <c r="G21" s="70">
        <f t="shared" si="0"/>
        <v>7.415031454315193E-3</v>
      </c>
      <c r="H21" s="70">
        <f t="shared" si="1"/>
        <v>5.3779844497918818E-2</v>
      </c>
    </row>
    <row r="22" spans="1:8" s="4" customFormat="1" ht="25.5">
      <c r="A22" s="65">
        <v>11</v>
      </c>
      <c r="B22" s="69" t="s">
        <v>97</v>
      </c>
      <c r="C22" s="58">
        <v>454.83592979721413</v>
      </c>
      <c r="D22" s="58">
        <v>436.59224743700008</v>
      </c>
      <c r="E22" s="58">
        <v>2700.3819284591104</v>
      </c>
      <c r="F22" s="58">
        <v>2460.0500709309999</v>
      </c>
      <c r="G22" s="70">
        <f t="shared" si="0"/>
        <v>1.0421009948388063E-2</v>
      </c>
      <c r="H22" s="70">
        <f t="shared" si="1"/>
        <v>9.7693888578925345E-2</v>
      </c>
    </row>
    <row r="23" spans="1:8" s="4" customFormat="1" ht="25.5">
      <c r="A23" s="65">
        <v>12</v>
      </c>
      <c r="B23" s="69" t="s">
        <v>49</v>
      </c>
      <c r="C23" s="58">
        <v>1295.79</v>
      </c>
      <c r="D23" s="58">
        <v>1047.99</v>
      </c>
      <c r="E23" s="58">
        <v>14180.380000000001</v>
      </c>
      <c r="F23" s="58">
        <v>12802.962584700001</v>
      </c>
      <c r="G23" s="70">
        <f t="shared" si="0"/>
        <v>5.4723326168993329E-2</v>
      </c>
      <c r="H23" s="70">
        <f t="shared" si="1"/>
        <v>0.10758583462128239</v>
      </c>
    </row>
    <row r="24" spans="1:8" s="4" customFormat="1" ht="25.5">
      <c r="A24" s="65">
        <v>13</v>
      </c>
      <c r="B24" s="69" t="s">
        <v>50</v>
      </c>
      <c r="C24" s="58">
        <v>7.729571</v>
      </c>
      <c r="D24" s="58">
        <v>4.4201591547795838</v>
      </c>
      <c r="E24" s="58">
        <v>49.594290752626058</v>
      </c>
      <c r="F24" s="58">
        <v>52.56762165949629</v>
      </c>
      <c r="G24" s="70">
        <f t="shared" si="0"/>
        <v>1.9138870389762795E-4</v>
      </c>
      <c r="H24" s="70">
        <f t="shared" si="1"/>
        <v>-5.6562020745960492E-2</v>
      </c>
    </row>
    <row r="25" spans="1:8" s="4" customFormat="1" ht="25.5">
      <c r="A25" s="65">
        <v>14</v>
      </c>
      <c r="B25" s="69" t="s">
        <v>51</v>
      </c>
      <c r="C25" s="58">
        <v>16.219527165999985</v>
      </c>
      <c r="D25" s="58">
        <v>32.708165123000029</v>
      </c>
      <c r="E25" s="58">
        <v>327.65597113950372</v>
      </c>
      <c r="F25" s="58">
        <v>194.44500255700666</v>
      </c>
      <c r="G25" s="70">
        <f t="shared" si="0"/>
        <v>1.2644530386269851E-3</v>
      </c>
      <c r="H25" s="70">
        <f t="shared" si="1"/>
        <v>0.68508301489231005</v>
      </c>
    </row>
    <row r="26" spans="1:8" s="4" customFormat="1" ht="25.5">
      <c r="A26" s="65">
        <v>15</v>
      </c>
      <c r="B26" s="69" t="s">
        <v>52</v>
      </c>
      <c r="C26" s="58">
        <v>883.04063160568433</v>
      </c>
      <c r="D26" s="58">
        <v>848.71649613604006</v>
      </c>
      <c r="E26" s="58">
        <v>11157.987988445042</v>
      </c>
      <c r="F26" s="58">
        <v>10054.813263449492</v>
      </c>
      <c r="G26" s="70">
        <f t="shared" si="0"/>
        <v>4.3059651157542164E-2</v>
      </c>
      <c r="H26" s="70">
        <f t="shared" si="1"/>
        <v>0.10971608284419644</v>
      </c>
    </row>
    <row r="27" spans="1:8" s="4" customFormat="1" ht="25.5">
      <c r="A27" s="65">
        <v>16</v>
      </c>
      <c r="B27" s="69" t="s">
        <v>53</v>
      </c>
      <c r="C27" s="58">
        <v>376.49548753888541</v>
      </c>
      <c r="D27" s="58">
        <v>385.64536605950275</v>
      </c>
      <c r="E27" s="58">
        <v>3195.1620042905402</v>
      </c>
      <c r="F27" s="58">
        <v>3014.6774600739454</v>
      </c>
      <c r="G27" s="70">
        <f t="shared" si="0"/>
        <v>1.2330409518191027E-2</v>
      </c>
      <c r="H27" s="70">
        <f t="shared" si="1"/>
        <v>5.9868608369191077E-2</v>
      </c>
    </row>
    <row r="28" spans="1:8" s="4" customFormat="1" ht="25.5">
      <c r="A28" s="65">
        <v>17</v>
      </c>
      <c r="B28" s="69" t="s">
        <v>54</v>
      </c>
      <c r="C28" s="58">
        <v>1731.9680033633583</v>
      </c>
      <c r="D28" s="58">
        <v>1609.0191532105928</v>
      </c>
      <c r="E28" s="58">
        <v>11136.339461237923</v>
      </c>
      <c r="F28" s="58">
        <v>10123.007641498409</v>
      </c>
      <c r="G28" s="70">
        <f t="shared" si="0"/>
        <v>4.2976107598382718E-2</v>
      </c>
      <c r="H28" s="70">
        <f t="shared" si="1"/>
        <v>0.10010185269301261</v>
      </c>
    </row>
    <row r="29" spans="1:8" s="4" customFormat="1" ht="25.5">
      <c r="A29" s="65">
        <v>18</v>
      </c>
      <c r="B29" s="69" t="s">
        <v>55</v>
      </c>
      <c r="C29" s="58">
        <v>365.60043715299997</v>
      </c>
      <c r="D29" s="58">
        <v>277.24146574499997</v>
      </c>
      <c r="E29" s="58">
        <v>3019.9436381159999</v>
      </c>
      <c r="F29" s="58">
        <v>2437.038023303</v>
      </c>
      <c r="G29" s="70">
        <f t="shared" si="0"/>
        <v>1.1654226524296119E-2</v>
      </c>
      <c r="H29" s="70">
        <f t="shared" si="1"/>
        <v>0.23918609772980404</v>
      </c>
    </row>
    <row r="30" spans="1:8" s="4" customFormat="1" ht="25.5">
      <c r="A30" s="65">
        <v>19</v>
      </c>
      <c r="B30" s="69" t="s">
        <v>56</v>
      </c>
      <c r="C30" s="58">
        <v>1560.5908865936401</v>
      </c>
      <c r="D30" s="58">
        <v>1300.2481</v>
      </c>
      <c r="E30" s="58">
        <v>14805.125328360651</v>
      </c>
      <c r="F30" s="58">
        <v>12506.5591</v>
      </c>
      <c r="G30" s="70">
        <f t="shared" si="0"/>
        <v>5.7134273010787044E-2</v>
      </c>
      <c r="H30" s="70">
        <f t="shared" si="1"/>
        <v>0.18378885910838982</v>
      </c>
    </row>
    <row r="31" spans="1:8" s="4" customFormat="1" ht="25.5">
      <c r="A31" s="65">
        <v>20</v>
      </c>
      <c r="B31" s="69" t="s">
        <v>57</v>
      </c>
      <c r="C31" s="58">
        <v>3787.5392274999977</v>
      </c>
      <c r="D31" s="58">
        <v>3264.4</v>
      </c>
      <c r="E31" s="58">
        <v>33240.643675799998</v>
      </c>
      <c r="F31" s="58">
        <v>31716.000000000007</v>
      </c>
      <c r="G31" s="70">
        <f t="shared" si="0"/>
        <v>0.1282785500768025</v>
      </c>
      <c r="H31" s="70">
        <f t="shared" si="1"/>
        <v>4.8071751664774579E-2</v>
      </c>
    </row>
    <row r="32" spans="1:8" s="4" customFormat="1" ht="25.5">
      <c r="A32" s="65">
        <v>21</v>
      </c>
      <c r="B32" s="69" t="s">
        <v>58</v>
      </c>
      <c r="C32" s="58">
        <v>1750.1499999999985</v>
      </c>
      <c r="D32" s="58">
        <v>1705.8400000000001</v>
      </c>
      <c r="E32" s="58">
        <v>16646.28</v>
      </c>
      <c r="F32" s="58">
        <v>15232.279999999999</v>
      </c>
      <c r="G32" s="70">
        <f t="shared" si="0"/>
        <v>6.4239449855391054E-2</v>
      </c>
      <c r="H32" s="70">
        <f t="shared" si="1"/>
        <v>9.2829175934265915E-2</v>
      </c>
    </row>
    <row r="33" spans="1:8" s="4" customFormat="1" ht="25.5">
      <c r="A33" s="65">
        <v>22</v>
      </c>
      <c r="B33" s="69" t="s">
        <v>59</v>
      </c>
      <c r="C33" s="58">
        <v>2398.3200000000002</v>
      </c>
      <c r="D33" s="58">
        <v>2259.48</v>
      </c>
      <c r="E33" s="58">
        <v>16703.010000000002</v>
      </c>
      <c r="F33" s="58">
        <v>16311.51</v>
      </c>
      <c r="G33" s="70">
        <f t="shared" si="0"/>
        <v>6.4458375885128413E-2</v>
      </c>
      <c r="H33" s="70">
        <f t="shared" si="1"/>
        <v>2.4001456640127237E-2</v>
      </c>
    </row>
    <row r="34" spans="1:8" s="4" customFormat="1" ht="25.5">
      <c r="A34" s="65">
        <v>23</v>
      </c>
      <c r="B34" s="69" t="s">
        <v>60</v>
      </c>
      <c r="C34" s="58">
        <v>428.41469970000003</v>
      </c>
      <c r="D34" s="58">
        <v>376.70595100000003</v>
      </c>
      <c r="E34" s="58">
        <v>4446.1152625882905</v>
      </c>
      <c r="F34" s="58">
        <v>4101.365569998</v>
      </c>
      <c r="G34" s="70">
        <f t="shared" si="0"/>
        <v>1.715794750913293E-2</v>
      </c>
      <c r="H34" s="70">
        <f t="shared" si="1"/>
        <v>8.4057294261252288E-2</v>
      </c>
    </row>
    <row r="35" spans="1:8" s="4" customFormat="1" ht="25.5">
      <c r="A35" s="65">
        <v>24</v>
      </c>
      <c r="B35" s="69" t="s">
        <v>61</v>
      </c>
      <c r="C35" s="58">
        <v>93.43</v>
      </c>
      <c r="D35" s="58">
        <v>100.04</v>
      </c>
      <c r="E35" s="58">
        <v>830.02</v>
      </c>
      <c r="F35" s="58">
        <v>680.51</v>
      </c>
      <c r="G35" s="70">
        <f t="shared" si="0"/>
        <v>3.2031197462118674E-3</v>
      </c>
      <c r="H35" s="70">
        <f t="shared" si="1"/>
        <v>0.21970286990639373</v>
      </c>
    </row>
    <row r="36" spans="1:8" s="4" customFormat="1" ht="25.5">
      <c r="A36" s="65">
        <v>25</v>
      </c>
      <c r="B36" s="69" t="s">
        <v>90</v>
      </c>
      <c r="C36" s="58">
        <v>168.45286443075983</v>
      </c>
      <c r="D36" s="58">
        <v>167.34473079714292</v>
      </c>
      <c r="E36" s="58">
        <v>1569.049913748421</v>
      </c>
      <c r="F36" s="58">
        <v>1242.4837149595596</v>
      </c>
      <c r="G36" s="70">
        <f t="shared" si="0"/>
        <v>6.0551007945827745E-3</v>
      </c>
      <c r="H36" s="70">
        <f t="shared" si="1"/>
        <v>0.26283338353411773</v>
      </c>
    </row>
    <row r="37" spans="1:8" s="4" customFormat="1" ht="25.5">
      <c r="A37" s="65"/>
      <c r="B37" s="71" t="s">
        <v>62</v>
      </c>
      <c r="C37" s="61">
        <f>SUM(C12:C36)</f>
        <v>24114.074889773496</v>
      </c>
      <c r="D37" s="61">
        <f t="shared" ref="D37:F37" si="2">SUM(D12:D36)</f>
        <v>22962.050996041125</v>
      </c>
      <c r="E37" s="61">
        <f>SUM(E12:E36)</f>
        <v>219336.42868014498</v>
      </c>
      <c r="F37" s="61">
        <f t="shared" si="2"/>
        <v>205721.13839873057</v>
      </c>
      <c r="G37" s="72">
        <f t="shared" ref="G37" si="3">E37/$E$99</f>
        <v>0.8464384542167217</v>
      </c>
      <c r="H37" s="73">
        <f t="shared" si="1"/>
        <v>6.6183234194558682E-2</v>
      </c>
    </row>
    <row r="38" spans="1:8" s="4" customFormat="1" ht="25.5">
      <c r="A38" s="65">
        <v>26</v>
      </c>
      <c r="B38" s="69" t="s">
        <v>63</v>
      </c>
      <c r="C38" s="58">
        <v>556.99006870000005</v>
      </c>
      <c r="D38" s="58">
        <v>476.31799999999998</v>
      </c>
      <c r="E38" s="58">
        <v>3775.5547700587722</v>
      </c>
      <c r="F38" s="58">
        <v>2875.7267499243681</v>
      </c>
      <c r="G38" s="70">
        <f t="shared" ref="G38:G45" si="4">E38/$E$50</f>
        <v>1.4570195943326257E-2</v>
      </c>
      <c r="H38" s="70">
        <f t="shared" si="1"/>
        <v>0.31290456235387099</v>
      </c>
    </row>
    <row r="39" spans="1:8" s="4" customFormat="1" ht="25.5">
      <c r="A39" s="65">
        <v>27</v>
      </c>
      <c r="B39" s="69" t="s">
        <v>64</v>
      </c>
      <c r="C39" s="58">
        <v>770.71186723643712</v>
      </c>
      <c r="D39" s="58">
        <v>652.23226620000003</v>
      </c>
      <c r="E39" s="58">
        <v>6767.3772744716507</v>
      </c>
      <c r="F39" s="58">
        <v>5479.3828248629734</v>
      </c>
      <c r="G39" s="70">
        <f t="shared" si="4"/>
        <v>2.611590055411387E-2</v>
      </c>
      <c r="H39" s="70">
        <f t="shared" si="1"/>
        <v>0.2350619569350654</v>
      </c>
    </row>
    <row r="40" spans="1:8" s="4" customFormat="1" ht="25.5">
      <c r="A40" s="65">
        <v>28</v>
      </c>
      <c r="B40" s="69" t="s">
        <v>65</v>
      </c>
      <c r="C40" s="58">
        <v>232.73011521139392</v>
      </c>
      <c r="D40" s="58">
        <v>207.88778250063712</v>
      </c>
      <c r="E40" s="58">
        <v>1442.4118457862012</v>
      </c>
      <c r="F40" s="58">
        <v>1348.7699140307886</v>
      </c>
      <c r="G40" s="70">
        <f t="shared" si="4"/>
        <v>5.5663934187220642E-3</v>
      </c>
      <c r="H40" s="70">
        <f t="shared" si="1"/>
        <v>6.9427654621657703E-2</v>
      </c>
    </row>
    <row r="41" spans="1:8" s="4" customFormat="1" ht="25.5">
      <c r="A41" s="65">
        <v>29</v>
      </c>
      <c r="B41" s="69" t="s">
        <v>66</v>
      </c>
      <c r="C41" s="58">
        <v>632.84350985900005</v>
      </c>
      <c r="D41" s="58">
        <v>547.61871274600003</v>
      </c>
      <c r="E41" s="58">
        <v>5316.4287070319997</v>
      </c>
      <c r="F41" s="58">
        <v>4395.7534861560007</v>
      </c>
      <c r="G41" s="70">
        <f t="shared" si="4"/>
        <v>2.0516563180190628E-2</v>
      </c>
      <c r="H41" s="70">
        <f t="shared" si="1"/>
        <v>0.20944650872155965</v>
      </c>
    </row>
    <row r="42" spans="1:8" s="4" customFormat="1" ht="25.5">
      <c r="A42" s="65"/>
      <c r="B42" s="69" t="s">
        <v>67</v>
      </c>
      <c r="C42" s="58">
        <v>0</v>
      </c>
      <c r="D42" s="58">
        <v>0</v>
      </c>
      <c r="E42" s="58">
        <v>0</v>
      </c>
      <c r="F42" s="58">
        <v>0</v>
      </c>
      <c r="G42" s="70">
        <f t="shared" si="4"/>
        <v>0</v>
      </c>
      <c r="H42" s="74" t="e">
        <f t="shared" si="1"/>
        <v>#DIV/0!</v>
      </c>
    </row>
    <row r="43" spans="1:8" s="4" customFormat="1" ht="25.5">
      <c r="A43" s="65">
        <v>30</v>
      </c>
      <c r="B43" s="69" t="s">
        <v>68</v>
      </c>
      <c r="C43" s="58">
        <v>1462.838746972513</v>
      </c>
      <c r="D43" s="58">
        <v>1411.5402474145001</v>
      </c>
      <c r="E43" s="58">
        <v>13070.629836264501</v>
      </c>
      <c r="F43" s="58">
        <v>11697.673908297498</v>
      </c>
      <c r="G43" s="70">
        <f t="shared" si="4"/>
        <v>5.0440703264939171E-2</v>
      </c>
      <c r="H43" s="70">
        <f t="shared" si="1"/>
        <v>0.11736999498619342</v>
      </c>
    </row>
    <row r="44" spans="1:8" s="4" customFormat="1" ht="25.5">
      <c r="A44" s="65">
        <v>31</v>
      </c>
      <c r="B44" s="69" t="s">
        <v>93</v>
      </c>
      <c r="C44" s="58">
        <v>0.50411223464406818</v>
      </c>
      <c r="D44" s="58">
        <v>0</v>
      </c>
      <c r="E44" s="58">
        <v>1.1441122346440682</v>
      </c>
      <c r="F44" s="58">
        <v>0</v>
      </c>
      <c r="G44" s="70">
        <f t="shared" si="4"/>
        <v>4.4152291398653047E-6</v>
      </c>
      <c r="H44" s="74" t="e">
        <f t="shared" si="1"/>
        <v>#DIV/0!</v>
      </c>
    </row>
    <row r="45" spans="1:8" s="4" customFormat="1" ht="25.5">
      <c r="A45" s="65">
        <v>32</v>
      </c>
      <c r="B45" s="69" t="s">
        <v>95</v>
      </c>
      <c r="C45" s="58">
        <v>2.9084938180847457</v>
      </c>
      <c r="D45" s="58">
        <v>0</v>
      </c>
      <c r="E45" s="58">
        <v>5.2889060198700566</v>
      </c>
      <c r="F45" s="58">
        <v>0</v>
      </c>
      <c r="G45" s="70">
        <f t="shared" si="4"/>
        <v>2.041035072420495E-5</v>
      </c>
      <c r="H45" s="74" t="e">
        <f t="shared" si="1"/>
        <v>#DIV/0!</v>
      </c>
    </row>
    <row r="46" spans="1:8" s="4" customFormat="1" ht="25.5">
      <c r="A46" s="65"/>
      <c r="B46" s="71" t="s">
        <v>69</v>
      </c>
      <c r="C46" s="64">
        <f>SUM(C38:C44)</f>
        <v>3656.6184202139884</v>
      </c>
      <c r="D46" s="64">
        <f>SUM(D38:D44)</f>
        <v>3295.5970088611371</v>
      </c>
      <c r="E46" s="64">
        <f>SUM(E38:E45)</f>
        <v>30378.835451867639</v>
      </c>
      <c r="F46" s="64">
        <f>SUM(F38:F44)</f>
        <v>25797.306883271631</v>
      </c>
      <c r="G46" s="72">
        <f t="shared" ref="G46" si="5">E46/$E$99</f>
        <v>0.11723458194115606</v>
      </c>
      <c r="H46" s="73">
        <f t="shared" si="1"/>
        <v>0.17759716505783474</v>
      </c>
    </row>
    <row r="47" spans="1:8" s="4" customFormat="1" ht="25.5">
      <c r="A47" s="65">
        <v>33</v>
      </c>
      <c r="B47" s="69" t="s">
        <v>70</v>
      </c>
      <c r="C47" s="58">
        <v>1105.1380480529997</v>
      </c>
      <c r="D47" s="58">
        <v>863.36</v>
      </c>
      <c r="E47" s="58">
        <v>8337.0660145222137</v>
      </c>
      <c r="F47" s="58">
        <v>8199.3955644488324</v>
      </c>
      <c r="G47" s="70">
        <f>E47/$E$50</f>
        <v>3.2173466635247318E-2</v>
      </c>
      <c r="H47" s="70">
        <f t="shared" ref="H47:H50" si="6">((E47-F47)/F47)</f>
        <v>1.6790316919249103E-2</v>
      </c>
    </row>
    <row r="48" spans="1:8" s="4" customFormat="1" ht="25.5">
      <c r="A48" s="65">
        <v>34</v>
      </c>
      <c r="B48" s="69" t="s">
        <v>71</v>
      </c>
      <c r="C48" s="58">
        <v>119.96</v>
      </c>
      <c r="D48" s="58">
        <v>107</v>
      </c>
      <c r="E48" s="58">
        <v>1076.29</v>
      </c>
      <c r="F48" s="58">
        <v>988.4799999999999</v>
      </c>
      <c r="G48" s="70">
        <f>E48/$E$50</f>
        <v>4.1534972068749797E-3</v>
      </c>
      <c r="H48" s="70">
        <f t="shared" si="6"/>
        <v>8.8833360310780263E-2</v>
      </c>
    </row>
    <row r="49" spans="1:8" s="4" customFormat="1" ht="26.25">
      <c r="A49" s="75"/>
      <c r="B49" s="71" t="s">
        <v>72</v>
      </c>
      <c r="C49" s="66">
        <f>SUM(C47:C48)</f>
        <v>1225.0980480529997</v>
      </c>
      <c r="D49" s="66">
        <f t="shared" ref="D49:F49" si="7">SUM(D47:D48)</f>
        <v>970.36</v>
      </c>
      <c r="E49" s="66">
        <f t="shared" si="7"/>
        <v>9413.3560145222145</v>
      </c>
      <c r="F49" s="66">
        <f t="shared" si="7"/>
        <v>9187.8755644488319</v>
      </c>
      <c r="G49" s="72">
        <f>E49/$E$99</f>
        <v>3.6326963842122299E-2</v>
      </c>
      <c r="H49" s="72">
        <f t="shared" si="6"/>
        <v>2.4541086619179617E-2</v>
      </c>
    </row>
    <row r="50" spans="1:8" s="4" customFormat="1" ht="26.25">
      <c r="A50" s="75"/>
      <c r="B50" s="71" t="s">
        <v>73</v>
      </c>
      <c r="C50" s="68">
        <f>(C37+C46+C49)</f>
        <v>28995.791358040486</v>
      </c>
      <c r="D50" s="68">
        <f t="shared" ref="D50:F50" si="8">(D37+D46+D49)</f>
        <v>27228.008004902262</v>
      </c>
      <c r="E50" s="68">
        <f t="shared" si="8"/>
        <v>259128.62014653481</v>
      </c>
      <c r="F50" s="68">
        <f t="shared" si="8"/>
        <v>240706.32084645104</v>
      </c>
      <c r="G50" s="72">
        <f>E50/$E$99</f>
        <v>1</v>
      </c>
      <c r="H50" s="72">
        <f t="shared" si="6"/>
        <v>7.6534339585687672E-2</v>
      </c>
    </row>
    <row r="51" spans="1:8" s="6" customFormat="1" ht="20.100000000000001" customHeight="1">
      <c r="A51" s="84" t="s">
        <v>74</v>
      </c>
      <c r="B51" s="84"/>
      <c r="C51" s="84"/>
      <c r="D51" s="84"/>
      <c r="E51" s="38"/>
      <c r="F51" s="38"/>
      <c r="G51" s="39"/>
      <c r="H51" s="40"/>
    </row>
    <row r="52" spans="1:8" s="6" customFormat="1" ht="20.100000000000001" customHeight="1">
      <c r="A52" s="85" t="s">
        <v>75</v>
      </c>
      <c r="B52" s="85"/>
      <c r="C52" s="85"/>
      <c r="D52" s="85"/>
      <c r="E52" s="85"/>
      <c r="F52" s="85"/>
      <c r="G52" s="85"/>
      <c r="H52" s="85"/>
    </row>
    <row r="53" spans="1:8" ht="18">
      <c r="A53" s="41"/>
      <c r="B53" s="42"/>
      <c r="C53" s="43"/>
      <c r="D53" s="43"/>
      <c r="E53" s="43"/>
      <c r="F53" s="43"/>
      <c r="G53" s="44"/>
      <c r="H53" s="44"/>
    </row>
    <row r="54" spans="1:8" s="2" customFormat="1" ht="38.1" customHeight="1">
      <c r="A54" s="86" t="s">
        <v>76</v>
      </c>
      <c r="B54" s="86"/>
      <c r="C54" s="86"/>
      <c r="D54" s="86"/>
      <c r="E54" s="86"/>
      <c r="F54" s="86"/>
      <c r="G54" s="86"/>
      <c r="H54" s="86"/>
    </row>
    <row r="55" spans="1:8" s="2" customFormat="1" ht="38.1" customHeight="1">
      <c r="A55" s="77" t="s">
        <v>91</v>
      </c>
      <c r="B55" s="77"/>
      <c r="C55" s="77"/>
      <c r="D55" s="77"/>
      <c r="E55" s="77"/>
      <c r="F55" s="77"/>
      <c r="G55" s="77"/>
      <c r="H55" s="77"/>
    </row>
    <row r="56" spans="1:8" s="2" customFormat="1" ht="38.1" customHeight="1">
      <c r="A56" s="83" t="s">
        <v>98</v>
      </c>
      <c r="B56" s="83"/>
      <c r="C56" s="83"/>
      <c r="D56" s="83"/>
      <c r="E56" s="83"/>
      <c r="F56" s="83"/>
      <c r="G56" s="83"/>
      <c r="H56" s="83"/>
    </row>
    <row r="57" spans="1:8" s="2" customFormat="1" ht="4.5" customHeight="1">
      <c r="A57" s="28"/>
      <c r="B57" s="28"/>
      <c r="C57" s="29"/>
      <c r="D57" s="29"/>
      <c r="E57" s="29"/>
      <c r="F57" s="29"/>
      <c r="G57" s="28"/>
      <c r="H57" s="28"/>
    </row>
    <row r="58" spans="1:8" s="4" customFormat="1" ht="48.75" customHeight="1">
      <c r="B58" s="30"/>
      <c r="C58" s="79" t="s">
        <v>77</v>
      </c>
      <c r="D58" s="79"/>
      <c r="E58" s="79"/>
      <c r="F58" s="79"/>
      <c r="G58" s="80" t="s">
        <v>104</v>
      </c>
      <c r="H58" s="80" t="s">
        <v>78</v>
      </c>
    </row>
    <row r="59" spans="1:8" s="4" customFormat="1" ht="33" customHeight="1">
      <c r="A59" s="81" t="s">
        <v>79</v>
      </c>
      <c r="B59" s="82" t="s">
        <v>80</v>
      </c>
      <c r="C59" s="82" t="s">
        <v>102</v>
      </c>
      <c r="D59" s="82"/>
      <c r="E59" s="82" t="s">
        <v>103</v>
      </c>
      <c r="F59" s="82"/>
      <c r="G59" s="80"/>
      <c r="H59" s="80"/>
    </row>
    <row r="60" spans="1:8" s="46" customFormat="1" ht="69.75" customHeight="1">
      <c r="A60" s="81" t="s">
        <v>79</v>
      </c>
      <c r="B60" s="82"/>
      <c r="C60" s="45" t="s">
        <v>0</v>
      </c>
      <c r="D60" s="45" t="s">
        <v>1</v>
      </c>
      <c r="E60" s="45" t="s">
        <v>0</v>
      </c>
      <c r="F60" s="45" t="s">
        <v>1</v>
      </c>
      <c r="G60" s="80"/>
      <c r="H60" s="80"/>
    </row>
    <row r="61" spans="1:8" s="4" customFormat="1" ht="24.75" customHeight="1">
      <c r="A61" s="56">
        <v>1</v>
      </c>
      <c r="B61" s="57" t="s">
        <v>23</v>
      </c>
      <c r="C61" s="58">
        <v>184.03348540000002</v>
      </c>
      <c r="D61" s="58">
        <v>177.79356340000001</v>
      </c>
      <c r="E61" s="58">
        <v>1739.8668126972727</v>
      </c>
      <c r="F61" s="58">
        <v>1541.5528899999999</v>
      </c>
      <c r="G61" s="59">
        <f t="shared" ref="G61:G99" si="9">E61/$E$99</f>
        <v>6.714298141646393E-3</v>
      </c>
      <c r="H61" s="59">
        <f t="shared" ref="H61:H85" si="10">((E61-F61)/F61)</f>
        <v>0.12864555214662327</v>
      </c>
    </row>
    <row r="62" spans="1:8" s="4" customFormat="1" ht="24.75" customHeight="1">
      <c r="A62" s="56">
        <v>2</v>
      </c>
      <c r="B62" s="57" t="s">
        <v>5</v>
      </c>
      <c r="C62" s="58">
        <v>1674.8054213000003</v>
      </c>
      <c r="D62" s="58">
        <v>1975.0371639000005</v>
      </c>
      <c r="E62" s="58">
        <v>18787.259995400003</v>
      </c>
      <c r="F62" s="58">
        <v>17515.163291600002</v>
      </c>
      <c r="G62" s="59">
        <f t="shared" si="9"/>
        <v>7.2501678837235281E-2</v>
      </c>
      <c r="H62" s="59">
        <f t="shared" si="10"/>
        <v>7.2628309689243914E-2</v>
      </c>
    </row>
    <row r="63" spans="1:8" s="4" customFormat="1" ht="24.75" customHeight="1">
      <c r="A63" s="56">
        <v>3</v>
      </c>
      <c r="B63" s="57" t="s">
        <v>15</v>
      </c>
      <c r="C63" s="58">
        <v>733.47844926189418</v>
      </c>
      <c r="D63" s="58">
        <v>666.10686219607771</v>
      </c>
      <c r="E63" s="58">
        <v>6828.5275100385261</v>
      </c>
      <c r="F63" s="58">
        <v>6191.4943489247753</v>
      </c>
      <c r="G63" s="59">
        <f t="shared" si="9"/>
        <v>2.6351884659352013E-2</v>
      </c>
      <c r="H63" s="59">
        <f t="shared" si="10"/>
        <v>0.10288843455447537</v>
      </c>
    </row>
    <row r="64" spans="1:8" s="4" customFormat="1" ht="24.75" customHeight="1">
      <c r="A64" s="56">
        <v>4</v>
      </c>
      <c r="B64" s="57" t="s">
        <v>17</v>
      </c>
      <c r="C64" s="58">
        <v>794.95474057629224</v>
      </c>
      <c r="D64" s="58">
        <v>706.92061759599005</v>
      </c>
      <c r="E64" s="58">
        <v>4511.7113837281431</v>
      </c>
      <c r="F64" s="58">
        <v>4059.301344531038</v>
      </c>
      <c r="G64" s="59">
        <f t="shared" si="9"/>
        <v>1.7411088675487921E-2</v>
      </c>
      <c r="H64" s="59">
        <f t="shared" si="10"/>
        <v>0.11145022278442622</v>
      </c>
    </row>
    <row r="65" spans="1:8" s="4" customFormat="1" ht="24.75" customHeight="1">
      <c r="A65" s="56">
        <v>5</v>
      </c>
      <c r="B65" s="57" t="s">
        <v>13</v>
      </c>
      <c r="C65" s="58">
        <v>726.45</v>
      </c>
      <c r="D65" s="58">
        <v>674.5</v>
      </c>
      <c r="E65" s="58">
        <v>7217.6387516179993</v>
      </c>
      <c r="F65" s="58">
        <v>6645.0362350100004</v>
      </c>
      <c r="G65" s="59">
        <f t="shared" si="9"/>
        <v>2.785349895946072E-2</v>
      </c>
      <c r="H65" s="59">
        <f t="shared" si="10"/>
        <v>8.6169961510697043E-2</v>
      </c>
    </row>
    <row r="66" spans="1:8" s="4" customFormat="1" ht="24.75" customHeight="1">
      <c r="A66" s="56">
        <v>6</v>
      </c>
      <c r="B66" s="57" t="s">
        <v>8</v>
      </c>
      <c r="C66" s="58">
        <v>1082.069301743009</v>
      </c>
      <c r="D66" s="58">
        <v>1508.5214304419999</v>
      </c>
      <c r="E66" s="58">
        <v>13293.977476533448</v>
      </c>
      <c r="F66" s="58">
        <v>14912.547445621998</v>
      </c>
      <c r="G66" s="59">
        <f t="shared" si="9"/>
        <v>5.1302621335365534E-2</v>
      </c>
      <c r="H66" s="59">
        <f t="shared" si="10"/>
        <v>-0.10853745646011188</v>
      </c>
    </row>
    <row r="67" spans="1:8" s="4" customFormat="1" ht="24.75" customHeight="1">
      <c r="A67" s="56">
        <v>7</v>
      </c>
      <c r="B67" s="57" t="s">
        <v>3</v>
      </c>
      <c r="C67" s="58">
        <v>2561.3250007490024</v>
      </c>
      <c r="D67" s="58">
        <v>2379.12</v>
      </c>
      <c r="E67" s="58">
        <v>23184.133366156999</v>
      </c>
      <c r="F67" s="58">
        <v>21081.84</v>
      </c>
      <c r="G67" s="59">
        <f t="shared" si="9"/>
        <v>8.9469597580717208E-2</v>
      </c>
      <c r="H67" s="59">
        <f t="shared" si="10"/>
        <v>9.9720582556218934E-2</v>
      </c>
    </row>
    <row r="68" spans="1:8" s="4" customFormat="1" ht="24.75" customHeight="1">
      <c r="A68" s="56">
        <v>8</v>
      </c>
      <c r="B68" s="57" t="s">
        <v>16</v>
      </c>
      <c r="C68" s="58">
        <v>798.75101670999913</v>
      </c>
      <c r="D68" s="58">
        <v>867.76452258099994</v>
      </c>
      <c r="E68" s="58">
        <v>7109.5007542379972</v>
      </c>
      <c r="F68" s="58">
        <v>8493.1501890830004</v>
      </c>
      <c r="G68" s="59">
        <f t="shared" si="9"/>
        <v>2.7436184973383647E-2</v>
      </c>
      <c r="H68" s="59">
        <f t="shared" si="10"/>
        <v>-0.1629135720010616</v>
      </c>
    </row>
    <row r="69" spans="1:8" s="4" customFormat="1" ht="24.75" customHeight="1">
      <c r="A69" s="56">
        <v>9</v>
      </c>
      <c r="B69" s="57" t="s">
        <v>26</v>
      </c>
      <c r="C69" s="58">
        <v>19.36</v>
      </c>
      <c r="D69" s="58">
        <v>12.736109668000001</v>
      </c>
      <c r="E69" s="58">
        <v>734.6762976966204</v>
      </c>
      <c r="F69" s="58">
        <v>527.39711938200003</v>
      </c>
      <c r="G69" s="59">
        <f t="shared" si="9"/>
        <v>2.8351800634031387E-3</v>
      </c>
      <c r="H69" s="59">
        <f t="shared" si="10"/>
        <v>0.39302296257800678</v>
      </c>
    </row>
    <row r="70" spans="1:8" s="4" customFormat="1" ht="24.75" customHeight="1">
      <c r="A70" s="56">
        <v>10</v>
      </c>
      <c r="B70" s="57" t="s">
        <v>22</v>
      </c>
      <c r="C70" s="58">
        <v>220.2702081847622</v>
      </c>
      <c r="D70" s="58">
        <v>177.15889159499685</v>
      </c>
      <c r="E70" s="58">
        <v>1921.4468690998492</v>
      </c>
      <c r="F70" s="58">
        <v>1823.3854814478225</v>
      </c>
      <c r="G70" s="59">
        <f t="shared" si="9"/>
        <v>7.415031454315193E-3</v>
      </c>
      <c r="H70" s="59">
        <f t="shared" si="10"/>
        <v>5.3779844497918818E-2</v>
      </c>
    </row>
    <row r="71" spans="1:8" s="4" customFormat="1" ht="24.75" customHeight="1">
      <c r="A71" s="56">
        <v>11</v>
      </c>
      <c r="B71" s="57" t="s">
        <v>96</v>
      </c>
      <c r="C71" s="58">
        <v>454.83592979721413</v>
      </c>
      <c r="D71" s="58">
        <v>436.59224743700008</v>
      </c>
      <c r="E71" s="58">
        <v>2700.3819284591104</v>
      </c>
      <c r="F71" s="58">
        <v>2460.0500709309999</v>
      </c>
      <c r="G71" s="59">
        <f t="shared" si="9"/>
        <v>1.0421009948388063E-2</v>
      </c>
      <c r="H71" s="59">
        <f t="shared" si="10"/>
        <v>9.7693888578925345E-2</v>
      </c>
    </row>
    <row r="72" spans="1:8" s="4" customFormat="1" ht="24.75" customHeight="1">
      <c r="A72" s="56">
        <v>12</v>
      </c>
      <c r="B72" s="57" t="s">
        <v>9</v>
      </c>
      <c r="C72" s="58">
        <v>1295.79</v>
      </c>
      <c r="D72" s="58">
        <v>1047.99</v>
      </c>
      <c r="E72" s="58">
        <v>14180.380000000001</v>
      </c>
      <c r="F72" s="58">
        <v>12802.962584700001</v>
      </c>
      <c r="G72" s="59">
        <f t="shared" si="9"/>
        <v>5.4723326168993329E-2</v>
      </c>
      <c r="H72" s="59">
        <f t="shared" si="10"/>
        <v>0.10758583462128239</v>
      </c>
    </row>
    <row r="73" spans="1:8" s="4" customFormat="1" ht="24.75" customHeight="1">
      <c r="A73" s="56">
        <v>13</v>
      </c>
      <c r="B73" s="57" t="s">
        <v>30</v>
      </c>
      <c r="C73" s="58">
        <v>7.729571</v>
      </c>
      <c r="D73" s="58">
        <v>4.4201591547795838</v>
      </c>
      <c r="E73" s="58">
        <v>49.594290752626058</v>
      </c>
      <c r="F73" s="58">
        <v>52.56762165949629</v>
      </c>
      <c r="G73" s="59">
        <f t="shared" si="9"/>
        <v>1.9138870389762795E-4</v>
      </c>
      <c r="H73" s="59">
        <f t="shared" si="10"/>
        <v>-5.6562020745960492E-2</v>
      </c>
    </row>
    <row r="74" spans="1:8" s="4" customFormat="1" ht="24.75" customHeight="1">
      <c r="A74" s="56">
        <v>14</v>
      </c>
      <c r="B74" s="57" t="s">
        <v>29</v>
      </c>
      <c r="C74" s="58">
        <v>16.219527165999985</v>
      </c>
      <c r="D74" s="58">
        <v>32.708165123000029</v>
      </c>
      <c r="E74" s="58">
        <v>327.65597113950372</v>
      </c>
      <c r="F74" s="58">
        <v>194.44500255700666</v>
      </c>
      <c r="G74" s="59">
        <f t="shared" si="9"/>
        <v>1.2644530386269851E-3</v>
      </c>
      <c r="H74" s="59">
        <f t="shared" si="10"/>
        <v>0.68508301489231005</v>
      </c>
    </row>
    <row r="75" spans="1:8" s="4" customFormat="1" ht="24.75" customHeight="1">
      <c r="A75" s="56">
        <v>15</v>
      </c>
      <c r="B75" s="57" t="s">
        <v>11</v>
      </c>
      <c r="C75" s="58">
        <v>883.04063160568433</v>
      </c>
      <c r="D75" s="58">
        <v>848.71649613604006</v>
      </c>
      <c r="E75" s="58">
        <v>11157.987988445042</v>
      </c>
      <c r="F75" s="58">
        <v>10054.813263449492</v>
      </c>
      <c r="G75" s="59">
        <f t="shared" si="9"/>
        <v>4.3059651157542164E-2</v>
      </c>
      <c r="H75" s="59">
        <f t="shared" si="10"/>
        <v>0.10971608284419644</v>
      </c>
    </row>
    <row r="76" spans="1:8" s="4" customFormat="1" ht="24.75" customHeight="1">
      <c r="A76" s="56">
        <v>16</v>
      </c>
      <c r="B76" s="57" t="s">
        <v>20</v>
      </c>
      <c r="C76" s="58">
        <v>376.49548753888541</v>
      </c>
      <c r="D76" s="58">
        <v>385.64536605950275</v>
      </c>
      <c r="E76" s="58">
        <v>3195.1620042905402</v>
      </c>
      <c r="F76" s="58">
        <v>3014.6774600739454</v>
      </c>
      <c r="G76" s="59">
        <f t="shared" si="9"/>
        <v>1.2330409518191027E-2</v>
      </c>
      <c r="H76" s="59">
        <f t="shared" si="10"/>
        <v>5.9868608369191077E-2</v>
      </c>
    </row>
    <row r="77" spans="1:8" s="4" customFormat="1" ht="24.75" customHeight="1">
      <c r="A77" s="56">
        <v>17</v>
      </c>
      <c r="B77" s="57" t="s">
        <v>12</v>
      </c>
      <c r="C77" s="58">
        <v>1731.9680033633583</v>
      </c>
      <c r="D77" s="58">
        <v>1609.0191532105928</v>
      </c>
      <c r="E77" s="58">
        <v>11136.339461237923</v>
      </c>
      <c r="F77" s="58">
        <v>10123.007641498409</v>
      </c>
      <c r="G77" s="59">
        <f t="shared" si="9"/>
        <v>4.2976107598382718E-2</v>
      </c>
      <c r="H77" s="59">
        <f t="shared" si="10"/>
        <v>0.10010185269301261</v>
      </c>
    </row>
    <row r="78" spans="1:8" s="4" customFormat="1" ht="24.75" customHeight="1">
      <c r="A78" s="56">
        <v>18</v>
      </c>
      <c r="B78" s="57" t="s">
        <v>21</v>
      </c>
      <c r="C78" s="58">
        <v>365.60043715299997</v>
      </c>
      <c r="D78" s="58">
        <v>277.24146574499997</v>
      </c>
      <c r="E78" s="58">
        <v>3019.9436381159999</v>
      </c>
      <c r="F78" s="58">
        <v>2437.038023303</v>
      </c>
      <c r="G78" s="59">
        <f t="shared" si="9"/>
        <v>1.1654226524296119E-2</v>
      </c>
      <c r="H78" s="59">
        <f t="shared" si="10"/>
        <v>0.23918609772980404</v>
      </c>
    </row>
    <row r="79" spans="1:8" s="4" customFormat="1" ht="24.75" customHeight="1">
      <c r="A79" s="56">
        <v>19</v>
      </c>
      <c r="B79" s="57" t="s">
        <v>7</v>
      </c>
      <c r="C79" s="58">
        <v>1560.5908865936401</v>
      </c>
      <c r="D79" s="58">
        <v>1300.2481</v>
      </c>
      <c r="E79" s="58">
        <v>14805.125328360651</v>
      </c>
      <c r="F79" s="58">
        <v>12506.5591</v>
      </c>
      <c r="G79" s="59">
        <f t="shared" si="9"/>
        <v>5.7134273010787044E-2</v>
      </c>
      <c r="H79" s="59">
        <f t="shared" si="10"/>
        <v>0.18378885910838982</v>
      </c>
    </row>
    <row r="80" spans="1:8" s="4" customFormat="1" ht="24.75" customHeight="1">
      <c r="A80" s="56">
        <v>20</v>
      </c>
      <c r="B80" s="57" t="s">
        <v>2</v>
      </c>
      <c r="C80" s="58">
        <v>3787.5392274999977</v>
      </c>
      <c r="D80" s="58">
        <v>3264.4</v>
      </c>
      <c r="E80" s="58">
        <v>33240.643675799998</v>
      </c>
      <c r="F80" s="58">
        <v>31716.000000000007</v>
      </c>
      <c r="G80" s="59">
        <f t="shared" si="9"/>
        <v>0.1282785500768025</v>
      </c>
      <c r="H80" s="59">
        <f t="shared" si="10"/>
        <v>4.8071751664774579E-2</v>
      </c>
    </row>
    <row r="81" spans="1:8" s="4" customFormat="1" ht="24.75" customHeight="1">
      <c r="A81" s="56">
        <v>21</v>
      </c>
      <c r="B81" s="57" t="s">
        <v>6</v>
      </c>
      <c r="C81" s="58">
        <v>1750.1499999999985</v>
      </c>
      <c r="D81" s="58">
        <v>1705.8400000000001</v>
      </c>
      <c r="E81" s="58">
        <v>16646.28</v>
      </c>
      <c r="F81" s="58">
        <v>15232.279999999999</v>
      </c>
      <c r="G81" s="59">
        <f t="shared" si="9"/>
        <v>6.4239449855391054E-2</v>
      </c>
      <c r="H81" s="59">
        <f t="shared" si="10"/>
        <v>9.2829175934265915E-2</v>
      </c>
    </row>
    <row r="82" spans="1:8" s="4" customFormat="1" ht="24.75" customHeight="1">
      <c r="A82" s="56">
        <v>22</v>
      </c>
      <c r="B82" s="57" t="s">
        <v>4</v>
      </c>
      <c r="C82" s="58">
        <v>2398.3200000000002</v>
      </c>
      <c r="D82" s="58">
        <v>2259.48</v>
      </c>
      <c r="E82" s="58">
        <v>16703.010000000002</v>
      </c>
      <c r="F82" s="58">
        <v>16311.51</v>
      </c>
      <c r="G82" s="59">
        <f t="shared" si="9"/>
        <v>6.4458375885128413E-2</v>
      </c>
      <c r="H82" s="59">
        <f t="shared" si="10"/>
        <v>2.4001456640127237E-2</v>
      </c>
    </row>
    <row r="83" spans="1:8" s="4" customFormat="1" ht="24.75" customHeight="1">
      <c r="A83" s="56">
        <v>23</v>
      </c>
      <c r="B83" s="57" t="s">
        <v>18</v>
      </c>
      <c r="C83" s="58">
        <v>428.41469970000003</v>
      </c>
      <c r="D83" s="58">
        <v>376.70595100000003</v>
      </c>
      <c r="E83" s="58">
        <v>4446.1152625882905</v>
      </c>
      <c r="F83" s="58">
        <v>4101.365569998</v>
      </c>
      <c r="G83" s="59">
        <f t="shared" si="9"/>
        <v>1.715794750913293E-2</v>
      </c>
      <c r="H83" s="59">
        <f t="shared" si="10"/>
        <v>8.4057294261252288E-2</v>
      </c>
    </row>
    <row r="84" spans="1:8" s="4" customFormat="1" ht="24.75" customHeight="1">
      <c r="A84" s="56">
        <v>24</v>
      </c>
      <c r="B84" s="57" t="s">
        <v>27</v>
      </c>
      <c r="C84" s="58">
        <v>93.43</v>
      </c>
      <c r="D84" s="58">
        <v>100.04</v>
      </c>
      <c r="E84" s="58">
        <v>830.02</v>
      </c>
      <c r="F84" s="58">
        <v>680.51</v>
      </c>
      <c r="G84" s="59">
        <f t="shared" si="9"/>
        <v>3.2031197462118674E-3</v>
      </c>
      <c r="H84" s="59">
        <f t="shared" si="10"/>
        <v>0.21970286990639373</v>
      </c>
    </row>
    <row r="85" spans="1:8" s="4" customFormat="1" ht="24.75" customHeight="1">
      <c r="A85" s="56">
        <v>25</v>
      </c>
      <c r="B85" s="57" t="s">
        <v>89</v>
      </c>
      <c r="C85" s="58">
        <v>168.45286443075983</v>
      </c>
      <c r="D85" s="58">
        <v>167.34473079714292</v>
      </c>
      <c r="E85" s="58">
        <v>1569.049913748421</v>
      </c>
      <c r="F85" s="58">
        <v>1242.4837149595596</v>
      </c>
      <c r="G85" s="59">
        <f t="shared" si="9"/>
        <v>6.0551007945827745E-3</v>
      </c>
      <c r="H85" s="59">
        <f t="shared" si="10"/>
        <v>0.26283338353411773</v>
      </c>
    </row>
    <row r="86" spans="1:8" s="4" customFormat="1" ht="24.75" customHeight="1">
      <c r="A86" s="56"/>
      <c r="B86" s="60" t="s">
        <v>81</v>
      </c>
      <c r="C86" s="61">
        <f>SUM(C61:C85)</f>
        <v>24114.074889773496</v>
      </c>
      <c r="D86" s="61">
        <f>SUM(D61:D85)</f>
        <v>22962.050996041125</v>
      </c>
      <c r="E86" s="61">
        <f>SUM(E61:E85)</f>
        <v>219336.42868014498</v>
      </c>
      <c r="F86" s="61">
        <f>SUM(F61:F85)</f>
        <v>205721.13839873057</v>
      </c>
      <c r="G86" s="62">
        <f t="shared" si="9"/>
        <v>0.8464384542167217</v>
      </c>
      <c r="H86" s="62">
        <f t="shared" ref="H86" si="11">((E86-F86)/F86)</f>
        <v>6.6183234194558682E-2</v>
      </c>
    </row>
    <row r="87" spans="1:8" s="4" customFormat="1" ht="24.75" customHeight="1">
      <c r="A87" s="56">
        <v>26</v>
      </c>
      <c r="B87" s="57" t="s">
        <v>19</v>
      </c>
      <c r="C87" s="58">
        <v>556.99006870000005</v>
      </c>
      <c r="D87" s="58">
        <v>476.31799999999998</v>
      </c>
      <c r="E87" s="58">
        <v>3775.5547700587722</v>
      </c>
      <c r="F87" s="58">
        <v>2875.7267499243681</v>
      </c>
      <c r="G87" s="59">
        <f t="shared" si="9"/>
        <v>1.4570195943326257E-2</v>
      </c>
      <c r="H87" s="59">
        <f>((E87-F87)/F87)</f>
        <v>0.31290456235387099</v>
      </c>
    </row>
    <row r="88" spans="1:8" s="5" customFormat="1" ht="24.75" customHeight="1">
      <c r="A88" s="56">
        <v>27</v>
      </c>
      <c r="B88" s="57" t="s">
        <v>14</v>
      </c>
      <c r="C88" s="58">
        <v>770.71186723643712</v>
      </c>
      <c r="D88" s="58">
        <v>652.23226620000003</v>
      </c>
      <c r="E88" s="58">
        <v>6767.3772744716507</v>
      </c>
      <c r="F88" s="58">
        <v>5479.3828248629734</v>
      </c>
      <c r="G88" s="59">
        <f t="shared" si="9"/>
        <v>2.611590055411387E-2</v>
      </c>
      <c r="H88" s="59">
        <f t="shared" ref="H88:H94" si="12">((E88-F88)/F88)</f>
        <v>0.2350619569350654</v>
      </c>
    </row>
    <row r="89" spans="1:8" s="4" customFormat="1" ht="24.75" customHeight="1">
      <c r="A89" s="56">
        <v>28</v>
      </c>
      <c r="B89" s="57" t="s">
        <v>24</v>
      </c>
      <c r="C89" s="58">
        <v>232.73011521139392</v>
      </c>
      <c r="D89" s="58">
        <v>207.88778250063712</v>
      </c>
      <c r="E89" s="58">
        <v>1442.4118457862012</v>
      </c>
      <c r="F89" s="58">
        <v>1348.7699140307886</v>
      </c>
      <c r="G89" s="59">
        <f t="shared" si="9"/>
        <v>5.5663934187220642E-3</v>
      </c>
      <c r="H89" s="59">
        <f t="shared" si="12"/>
        <v>6.9427654621657703E-2</v>
      </c>
    </row>
    <row r="90" spans="1:8" s="4" customFormat="1" ht="24.75" customHeight="1">
      <c r="A90" s="56">
        <v>29</v>
      </c>
      <c r="B90" s="57" t="s">
        <v>82</v>
      </c>
      <c r="C90" s="58">
        <v>632.84350985900005</v>
      </c>
      <c r="D90" s="58">
        <v>547.61871274600003</v>
      </c>
      <c r="E90" s="58">
        <v>5316.4287070319997</v>
      </c>
      <c r="F90" s="58">
        <v>4395.7534861560007</v>
      </c>
      <c r="G90" s="59">
        <f t="shared" si="9"/>
        <v>2.0516563180190628E-2</v>
      </c>
      <c r="H90" s="59">
        <f t="shared" si="12"/>
        <v>0.20944650872155965</v>
      </c>
    </row>
    <row r="91" spans="1:8" s="4" customFormat="1" ht="24.75" customHeight="1">
      <c r="A91" s="56"/>
      <c r="B91" s="57" t="s">
        <v>83</v>
      </c>
      <c r="C91" s="58">
        <v>0</v>
      </c>
      <c r="D91" s="58">
        <v>0</v>
      </c>
      <c r="E91" s="58">
        <v>0</v>
      </c>
      <c r="F91" s="58">
        <v>0</v>
      </c>
      <c r="G91" s="59">
        <f t="shared" si="9"/>
        <v>0</v>
      </c>
      <c r="H91" s="63" t="e">
        <f t="shared" si="12"/>
        <v>#DIV/0!</v>
      </c>
    </row>
    <row r="92" spans="1:8" s="4" customFormat="1" ht="24.75" customHeight="1">
      <c r="A92" s="56">
        <v>30</v>
      </c>
      <c r="B92" s="57" t="s">
        <v>10</v>
      </c>
      <c r="C92" s="58">
        <v>1462.838746972513</v>
      </c>
      <c r="D92" s="58">
        <v>1411.5402474145001</v>
      </c>
      <c r="E92" s="58">
        <v>13070.629836264501</v>
      </c>
      <c r="F92" s="58">
        <v>11697.673908297498</v>
      </c>
      <c r="G92" s="59">
        <f t="shared" si="9"/>
        <v>5.0440703264939171E-2</v>
      </c>
      <c r="H92" s="59">
        <f t="shared" si="12"/>
        <v>0.11736999498619342</v>
      </c>
    </row>
    <row r="93" spans="1:8" s="4" customFormat="1" ht="24.75" customHeight="1">
      <c r="A93" s="56">
        <v>31</v>
      </c>
      <c r="B93" s="57" t="s">
        <v>92</v>
      </c>
      <c r="C93" s="58">
        <v>0.50411223464406818</v>
      </c>
      <c r="D93" s="58">
        <v>0</v>
      </c>
      <c r="E93" s="58">
        <v>1.1441122346440682</v>
      </c>
      <c r="F93" s="58">
        <v>0</v>
      </c>
      <c r="G93" s="59">
        <f t="shared" si="9"/>
        <v>4.4152291398653047E-6</v>
      </c>
      <c r="H93" s="63" t="e">
        <f t="shared" si="12"/>
        <v>#DIV/0!</v>
      </c>
    </row>
    <row r="94" spans="1:8" s="4" customFormat="1" ht="24.75" customHeight="1">
      <c r="A94" s="56">
        <v>32</v>
      </c>
      <c r="B94" s="57" t="s">
        <v>94</v>
      </c>
      <c r="C94" s="58">
        <v>2.9084938180847457</v>
      </c>
      <c r="D94" s="58">
        <v>0</v>
      </c>
      <c r="E94" s="58">
        <v>5.2889060198700566</v>
      </c>
      <c r="F94" s="58">
        <v>0</v>
      </c>
      <c r="G94" s="59">
        <f t="shared" si="9"/>
        <v>2.041035072420495E-5</v>
      </c>
      <c r="H94" s="63" t="e">
        <f t="shared" si="12"/>
        <v>#DIV/0!</v>
      </c>
    </row>
    <row r="95" spans="1:8" s="4" customFormat="1" ht="24.75" customHeight="1">
      <c r="A95" s="56"/>
      <c r="B95" s="60" t="s">
        <v>84</v>
      </c>
      <c r="C95" s="64">
        <f>SUM(C87:C94)</f>
        <v>3659.5269140320734</v>
      </c>
      <c r="D95" s="64">
        <f>SUM(D87:D94)</f>
        <v>3295.5970088611371</v>
      </c>
      <c r="E95" s="64">
        <f>SUM(E87:E94)</f>
        <v>30378.835451867639</v>
      </c>
      <c r="F95" s="64">
        <f>SUM(F87:F94)</f>
        <v>25797.306883271631</v>
      </c>
      <c r="G95" s="62">
        <f t="shared" si="9"/>
        <v>0.11723458194115606</v>
      </c>
      <c r="H95" s="62">
        <f t="shared" ref="H95:H99" si="13">((E95-F95)/F95)</f>
        <v>0.17759716505783474</v>
      </c>
    </row>
    <row r="96" spans="1:8" s="4" customFormat="1" ht="24.75" customHeight="1">
      <c r="A96" s="65">
        <v>33</v>
      </c>
      <c r="B96" s="57" t="s">
        <v>28</v>
      </c>
      <c r="C96" s="58">
        <v>1105.1380480529997</v>
      </c>
      <c r="D96" s="58">
        <v>863.36</v>
      </c>
      <c r="E96" s="58">
        <v>8337.0660145222137</v>
      </c>
      <c r="F96" s="58">
        <v>8199.3955644488324</v>
      </c>
      <c r="G96" s="59">
        <f t="shared" si="9"/>
        <v>3.2173466635247318E-2</v>
      </c>
      <c r="H96" s="59">
        <f t="shared" si="13"/>
        <v>1.6790316919249103E-2</v>
      </c>
    </row>
    <row r="97" spans="1:8" s="4" customFormat="1" ht="24.75" customHeight="1">
      <c r="A97" s="65">
        <v>34</v>
      </c>
      <c r="B97" s="57" t="s">
        <v>25</v>
      </c>
      <c r="C97" s="58">
        <v>119.96</v>
      </c>
      <c r="D97" s="58">
        <v>107</v>
      </c>
      <c r="E97" s="58">
        <v>1076.29</v>
      </c>
      <c r="F97" s="58">
        <v>988.4799999999999</v>
      </c>
      <c r="G97" s="59">
        <f t="shared" si="9"/>
        <v>4.1534972068749797E-3</v>
      </c>
      <c r="H97" s="59">
        <f t="shared" si="13"/>
        <v>8.8833360310780263E-2</v>
      </c>
    </row>
    <row r="98" spans="1:8" s="4" customFormat="1" ht="26.25">
      <c r="A98" s="56"/>
      <c r="B98" s="60" t="s">
        <v>85</v>
      </c>
      <c r="C98" s="66">
        <f>SUM(C96:C97)</f>
        <v>1225.0980480529997</v>
      </c>
      <c r="D98" s="66">
        <f t="shared" ref="D98:F98" si="14">SUM(D96:D97)</f>
        <v>970.36</v>
      </c>
      <c r="E98" s="66">
        <f t="shared" si="14"/>
        <v>9413.3560145222145</v>
      </c>
      <c r="F98" s="66">
        <f t="shared" si="14"/>
        <v>9187.8755644488319</v>
      </c>
      <c r="G98" s="59">
        <f t="shared" si="9"/>
        <v>3.6326963842122299E-2</v>
      </c>
      <c r="H98" s="62">
        <f t="shared" si="13"/>
        <v>2.4541086619179617E-2</v>
      </c>
    </row>
    <row r="99" spans="1:8" s="4" customFormat="1" ht="26.25">
      <c r="A99" s="56"/>
      <c r="B99" s="67" t="s">
        <v>86</v>
      </c>
      <c r="C99" s="68">
        <f>(C86+C95+C98)</f>
        <v>28998.699851858568</v>
      </c>
      <c r="D99" s="68">
        <f>(D86+D95+D98)</f>
        <v>27228.008004902262</v>
      </c>
      <c r="E99" s="68">
        <f>(E86+E95+E98)</f>
        <v>259128.62014653481</v>
      </c>
      <c r="F99" s="68">
        <f>(F86+F95+F98)</f>
        <v>240706.32084645104</v>
      </c>
      <c r="G99" s="62">
        <f t="shared" si="9"/>
        <v>1</v>
      </c>
      <c r="H99" s="62">
        <f t="shared" si="13"/>
        <v>7.6534339585687672E-2</v>
      </c>
    </row>
    <row r="100" spans="1:8" s="6" customFormat="1" ht="15">
      <c r="A100" s="78" t="s">
        <v>87</v>
      </c>
      <c r="B100" s="78"/>
      <c r="C100" s="78"/>
      <c r="D100" s="78"/>
      <c r="E100" s="78"/>
      <c r="F100" s="78"/>
      <c r="G100" s="78"/>
      <c r="H100" s="78"/>
    </row>
    <row r="101" spans="1:8" s="6" customFormat="1" ht="15" customHeight="1">
      <c r="A101" s="78" t="s">
        <v>88</v>
      </c>
      <c r="B101" s="78"/>
      <c r="C101" s="78"/>
      <c r="D101" s="50"/>
      <c r="E101" s="50"/>
      <c r="F101" s="50"/>
      <c r="G101" s="50"/>
      <c r="H101" s="50"/>
    </row>
    <row r="102" spans="1:8" ht="15.75">
      <c r="A102" s="76"/>
      <c r="B102" s="76"/>
      <c r="C102" s="76"/>
      <c r="D102" s="10"/>
      <c r="E102" s="9"/>
      <c r="F102" s="9"/>
      <c r="G102" s="8"/>
      <c r="H102" s="8"/>
    </row>
    <row r="103" spans="1:8" ht="15.75">
      <c r="B103" s="47"/>
      <c r="C103" s="48"/>
      <c r="D103" s="11"/>
      <c r="E103" s="12"/>
      <c r="F103" s="11"/>
      <c r="G103" s="13"/>
    </row>
    <row r="104" spans="1:8" ht="15.75">
      <c r="B104" s="47"/>
      <c r="C104" s="49"/>
      <c r="D104" s="15"/>
      <c r="E104" s="15"/>
      <c r="F104" s="15"/>
      <c r="G104" s="16"/>
    </row>
    <row r="105" spans="1:8" ht="15.75">
      <c r="B105" s="47"/>
      <c r="C105" s="17"/>
      <c r="D105" s="17"/>
      <c r="E105" s="17"/>
      <c r="F105" s="17"/>
      <c r="G105" s="18"/>
      <c r="H105" s="18"/>
    </row>
    <row r="110" spans="1:8">
      <c r="B110" s="19"/>
      <c r="C110" s="20"/>
      <c r="D110" s="20"/>
      <c r="E110" s="21"/>
    </row>
    <row r="111" spans="1:8">
      <c r="C111" s="20"/>
      <c r="D111" s="20"/>
      <c r="E111" s="21"/>
    </row>
    <row r="65453" spans="1:7" s="14" customFormat="1">
      <c r="A65453" s="7"/>
      <c r="B65453" s="23"/>
      <c r="C65453" s="22"/>
      <c r="D65453" s="22"/>
      <c r="E65453" s="22"/>
      <c r="F65453" s="22"/>
      <c r="G65453" s="1">
        <v>0</v>
      </c>
    </row>
  </sheetData>
  <sortState ref="B59:H83">
    <sortCondition ref="B59:B83"/>
  </sortState>
  <mergeCells count="26"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</mergeCells>
  <printOptions horizontalCentered="1" verticalCentered="1"/>
  <pageMargins left="0.2" right="0.2" top="0.5" bottom="0.25" header="0" footer="0"/>
  <pageSetup paperSize="9" scale="42" fitToHeight="2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2025-01-08T10:01:57Z</cp:lastPrinted>
  <dcterms:created xsi:type="dcterms:W3CDTF">2024-07-04T10:52:00Z</dcterms:created>
  <dcterms:modified xsi:type="dcterms:W3CDTF">2025-04-22T11:17:55Z</dcterms:modified>
</cp:coreProperties>
</file>