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raj\Desktop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" l="1"/>
  <c r="H40" i="2"/>
  <c r="H41" i="2"/>
  <c r="H42" i="2"/>
  <c r="H43" i="2"/>
  <c r="H44" i="2"/>
  <c r="H45" i="2"/>
  <c r="H88" i="2"/>
  <c r="H89" i="2"/>
  <c r="H90" i="2"/>
  <c r="H91" i="2"/>
  <c r="H92" i="2"/>
  <c r="H93" i="2"/>
  <c r="H94" i="2"/>
  <c r="H87" i="2"/>
  <c r="F46" i="2" l="1"/>
  <c r="E46" i="2"/>
  <c r="D46" i="2"/>
  <c r="C46" i="2"/>
  <c r="D95" i="2"/>
  <c r="E95" i="2"/>
  <c r="F95" i="2"/>
  <c r="C95" i="2"/>
  <c r="H85" i="2" l="1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46" i="2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E37" i="2"/>
  <c r="H37" i="2" s="1"/>
  <c r="D37" i="2"/>
  <c r="C37" i="2"/>
  <c r="C98" i="2"/>
  <c r="C50" i="2" l="1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H96" i="2"/>
  <c r="H97" i="2"/>
  <c r="D98" i="2"/>
  <c r="E98" i="2"/>
  <c r="F98" i="2"/>
  <c r="D86" i="2"/>
  <c r="E86" i="2"/>
  <c r="F86" i="2"/>
  <c r="C86" i="2"/>
  <c r="C99" i="2" l="1"/>
  <c r="F99" i="2"/>
  <c r="H98" i="2"/>
  <c r="D99" i="2"/>
  <c r="H95" i="2"/>
  <c r="H86" i="2"/>
  <c r="E99" i="2"/>
  <c r="G89" i="2" l="1"/>
  <c r="G88" i="2"/>
  <c r="G90" i="2"/>
  <c r="G91" i="2"/>
  <c r="G92" i="2"/>
  <c r="G93" i="2"/>
  <c r="G94" i="2"/>
  <c r="G98" i="2"/>
  <c r="G97" i="2"/>
  <c r="G96" i="2"/>
  <c r="G61" i="2"/>
  <c r="G49" i="2"/>
  <c r="G50" i="2"/>
  <c r="G46" i="2"/>
  <c r="G37" i="2"/>
  <c r="G86" i="2"/>
  <c r="G79" i="2"/>
  <c r="G67" i="2"/>
  <c r="G83" i="2"/>
  <c r="G81" i="2"/>
  <c r="G77" i="2"/>
  <c r="G76" i="2"/>
  <c r="G74" i="2"/>
  <c r="G75" i="2"/>
  <c r="G73" i="2"/>
  <c r="G72" i="2"/>
  <c r="G71" i="2"/>
  <c r="G70" i="2"/>
  <c r="G69" i="2"/>
  <c r="G65" i="2"/>
  <c r="H99" i="2"/>
  <c r="G78" i="2"/>
  <c r="G68" i="2"/>
  <c r="G84" i="2"/>
  <c r="G63" i="2"/>
  <c r="G99" i="2"/>
  <c r="G80" i="2"/>
  <c r="G66" i="2"/>
  <c r="G64" i="2"/>
  <c r="G82" i="2"/>
  <c r="G62" i="2"/>
  <c r="G95" i="2"/>
  <c r="G87" i="2"/>
  <c r="G85" i="2"/>
</calcChain>
</file>

<file path=xl/sharedStrings.xml><?xml version="1.0" encoding="utf-8"?>
<sst xmlns="http://schemas.openxmlformats.org/spreadsheetml/2006/main" count="123" uniqueCount="107">
  <si>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</si>
  <si>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</si>
  <si>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</si>
  <si>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</si>
  <si>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</si>
  <si>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</si>
  <si>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</si>
  <si>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</si>
  <si>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</si>
  <si>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</si>
  <si>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</si>
  <si>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</si>
  <si>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</si>
  <si>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</si>
  <si>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</si>
  <si>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</si>
  <si>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</si>
  <si>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</si>
  <si>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</si>
  <si>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</si>
  <si>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</si>
  <si>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</si>
  <si>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</si>
  <si>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</si>
  <si>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</si>
  <si>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</si>
  <si>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</si>
  <si>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</si>
  <si>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</si>
  <si>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</si>
  <si>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</si>
  <si>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</si>
  <si>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</si>
  <si>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</si>
  <si>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</si>
  <si>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</si>
  <si>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</si>
  <si>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</si>
  <si>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</si>
  <si>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</si>
  <si>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</si>
  <si>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</si>
  <si>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</si>
  <si>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</si>
  <si>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</si>
  <si>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</si>
  <si>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</si>
  <si>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</si>
  <si>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</si>
  <si>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</si>
  <si>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</si>
  <si>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</si>
  <si>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</si>
  <si>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</si>
  <si>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</si>
  <si>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</si>
  <si>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</si>
  <si>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</si>
  <si>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</si>
  <si>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</si>
  <si>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</si>
  <si>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</si>
  <si>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</si>
  <si>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</si>
  <si>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</si>
  <si>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</si>
  <si>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</si>
  <si>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</si>
  <si>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</si>
  <si>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</si>
  <si>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</si>
  <si>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</si>
  <si>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</si>
  <si>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</si>
  <si>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</si>
  <si>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</si>
  <si>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</si>
  <si>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</si>
  <si>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</si>
  <si>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</si>
  <si>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</si>
  <si>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</si>
  <si>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</si>
  <si>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</si>
  <si>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</si>
  <si>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</si>
  <si>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</si>
  <si>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</si>
  <si>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</si>
  <si>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</si>
  <si>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</si>
  <si>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</si>
  <si>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</si>
  <si>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</si>
  <si>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</si>
  <si>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</si>
  <si>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</si>
  <si>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</si>
  <si>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नवंबर , 2024 माह और तक के लिए सकल प्रत्यक्ष प्रीमियम अधिग्रहण</t>
  </si>
  <si>
    <t>नवंबर  माह के लिए</t>
  </si>
  <si>
    <t>नवंबर  माह तक</t>
  </si>
  <si>
    <t>नवंबर , 2024 माह तक बाजार शेयर  (%)</t>
  </si>
  <si>
    <t>GROSS DIRECT PREMIUM UNDERWRITTEN FOR AND UPTO THE MONTH  OF NOVEMBER, 2024</t>
  </si>
  <si>
    <t>Market Share upto the Month of Nov, 2024 (%)</t>
  </si>
  <si>
    <t>For the Month of NOV</t>
  </si>
  <si>
    <t>Upto the Month of NOV</t>
  </si>
  <si>
    <t xml:space="preserve">*** The report is as per new accounting treatment for long term policies premium recognition with effect from October 1, 2024.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</si>
</sst>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b/>
      <sz val="14"/>
      <name val="Rupee Foradi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vertical="center"/>
    </xf>
    <xf numFmtId="0" fontId="20" fillId="0" borderId="0" xfId="3" quotePrefix="1" applyFont="1" applyFill="1" applyBorder="1" applyAlignment="1">
      <alignment vertical="center"/>
    </xf>
    <xf numFmtId="0" fontId="14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1" fontId="14" fillId="0" borderId="0" xfId="3" applyNumberFormat="1" applyFont="1" applyFill="1" applyBorder="1" applyAlignment="1">
      <alignment horizontal="center" vertical="center"/>
    </xf>
    <xf numFmtId="2" fontId="20" fillId="0" borderId="0" xfId="3" applyNumberFormat="1" applyFont="1" applyFill="1" applyBorder="1" applyAlignment="1">
      <alignment horizontal="left" vertical="center" wrapText="1"/>
    </xf>
    <xf numFmtId="164" fontId="7" fillId="0" borderId="1" xfId="1" applyNumberFormat="1" applyFont="1" applyFill="1" applyBorder="1" applyAlignment="1">
      <alignment horizontal="right" vertical="center"/>
    </xf>
    <xf numFmtId="164" fontId="21" fillId="0" borderId="1" xfId="1" applyFont="1" applyFill="1" applyBorder="1" applyAlignment="1">
      <alignment vertical="center" wrapText="1"/>
    </xf>
    <xf numFmtId="164" fontId="21" fillId="0" borderId="1" xfId="1" applyFont="1" applyFill="1" applyBorder="1" applyAlignment="1">
      <alignment horizontal="left" vertical="center" wrapText="1"/>
    </xf>
    <xf numFmtId="164" fontId="7" fillId="0" borderId="1" xfId="1" applyFont="1" applyFill="1" applyBorder="1" applyAlignment="1">
      <alignment horizontal="right" vertical="center"/>
    </xf>
    <xf numFmtId="0" fontId="21" fillId="0" borderId="1" xfId="3" quotePrefix="1" applyFont="1" applyFill="1" applyBorder="1" applyAlignment="1">
      <alignment vertical="center"/>
    </xf>
    <xf numFmtId="2" fontId="23" fillId="0" borderId="0" xfId="0" applyNumberFormat="1" applyFont="1" applyAlignment="1">
      <alignment horizontal="right"/>
    </xf>
    <xf numFmtId="10" fontId="23" fillId="0" borderId="0" xfId="0" applyNumberFormat="1" applyFont="1" applyBorder="1" applyAlignment="1">
      <alignment horizontal="right"/>
    </xf>
    <xf numFmtId="10" fontId="23" fillId="0" borderId="0" xfId="0" applyNumberFormat="1" applyFont="1" applyBorder="1" applyAlignment="1">
      <alignment vertical="center"/>
    </xf>
    <xf numFmtId="10" fontId="24" fillId="0" borderId="1" xfId="0" applyNumberFormat="1" applyFont="1" applyBorder="1" applyAlignment="1">
      <alignment vertical="center"/>
    </xf>
    <xf numFmtId="0" fontId="21" fillId="0" borderId="2" xfId="3" quotePrefix="1" applyFont="1" applyFill="1" applyBorder="1" applyAlignment="1">
      <alignment vertical="center"/>
    </xf>
    <xf numFmtId="43" fontId="24" fillId="0" borderId="1" xfId="0" applyNumberFormat="1" applyFont="1" applyBorder="1" applyAlignment="1">
      <alignment horizontal="right" vertical="center"/>
    </xf>
    <xf numFmtId="10" fontId="24" fillId="0" borderId="1" xfId="0" applyNumberFormat="1" applyFont="1" applyBorder="1" applyAlignment="1">
      <alignment horizontal="right" vertical="center"/>
    </xf>
    <xf numFmtId="164" fontId="25" fillId="0" borderId="1" xfId="1" applyFont="1" applyFill="1" applyBorder="1" applyAlignment="1">
      <alignment horizontal="right" vertical="center"/>
    </xf>
    <xf numFmtId="0" fontId="15" fillId="0" borderId="0" xfId="3" applyFont="1" applyFill="1" applyBorder="1" applyAlignment="1">
      <alignment horizontal="center" vertical="center"/>
    </xf>
    <xf numFmtId="0" fontId="6" fillId="0" borderId="3" xfId="3" applyFont="1" applyBorder="1" applyAlignment="1">
      <alignment vertical="center"/>
    </xf>
    <xf numFmtId="0" fontId="14" fillId="0" borderId="3" xfId="3" applyFont="1" applyFill="1" applyBorder="1" applyAlignment="1">
      <alignment vertical="center"/>
    </xf>
    <xf numFmtId="0" fontId="14" fillId="0" borderId="2" xfId="3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10" fontId="24" fillId="0" borderId="1" xfId="0" applyNumberFormat="1" applyFont="1" applyBorder="1" applyAlignment="1">
      <alignment horizontal="right"/>
    </xf>
    <xf numFmtId="10" fontId="26" fillId="0" borderId="0" xfId="0" applyNumberFormat="1" applyFont="1" applyBorder="1" applyAlignment="1">
      <alignment horizontal="right" vertical="center"/>
    </xf>
    <xf numFmtId="10" fontId="26" fillId="0" borderId="0" xfId="0" applyNumberFormat="1" applyFont="1" applyBorder="1" applyAlignment="1">
      <alignment horizontal="right"/>
    </xf>
    <xf numFmtId="2" fontId="23" fillId="0" borderId="0" xfId="0" applyNumberFormat="1" applyFont="1" applyFill="1" applyBorder="1" applyAlignment="1">
      <alignment horizontal="right" vertical="top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3" xfId="3" applyFont="1" applyFill="1" applyBorder="1" applyAlignment="1">
      <alignment horizontal="right"/>
    </xf>
    <xf numFmtId="0" fontId="14" fillId="0" borderId="3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2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27" fillId="0" borderId="4" xfId="3" applyFont="1" applyBorder="1" applyAlignment="1">
      <alignment horizontal="left" vertical="center" wrapText="1"/>
    </xf>
    <xf numFmtId="0" fontId="27" fillId="0" borderId="4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15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3"/>
  <sheetViews>
    <sheetView tabSelected="1" view="pageBreakPreview" topLeftCell="A97" zoomScale="98" zoomScaleNormal="98" zoomScaleSheetLayoutView="98" workbookViewId="0">
      <selection activeCell="E112" sqref="E112"/>
    </sheetView>
  </sheetViews>
  <sheetFormatPr defaultRowHeight="12.75"/>
  <cols>
    <col min="1" max="1" width="12.85546875" style="7" customWidth="1"/>
    <col min="2" max="2" width="90.85546875" style="16" customWidth="1"/>
    <col min="3" max="4" width="21.7109375" style="15" bestFit="1" customWidth="1"/>
    <col min="5" max="6" width="25.140625" style="15" bestFit="1" customWidth="1"/>
    <col min="7" max="7" width="28" style="1" customWidth="1"/>
    <col min="8" max="8" width="30.7109375" style="11" customWidth="1"/>
    <col min="9" max="16384" width="9.140625" style="1"/>
  </cols>
  <sheetData>
    <row r="1" spans="1:8" ht="15">
      <c r="A1" s="17"/>
      <c r="B1" s="18"/>
      <c r="C1" s="19"/>
      <c r="D1" s="19"/>
      <c r="E1" s="19"/>
      <c r="F1" s="19"/>
      <c r="G1" s="20"/>
      <c r="H1" s="1"/>
    </row>
    <row r="2" spans="1:8" s="2" customFormat="1" ht="36" customHeight="1">
      <c r="A2" s="69" t="s">
        <v>31</v>
      </c>
      <c r="B2" s="69"/>
      <c r="C2" s="69"/>
      <c r="D2" s="69"/>
      <c r="E2" s="69"/>
      <c r="F2" s="69"/>
      <c r="G2" s="69"/>
      <c r="H2" s="69"/>
    </row>
    <row r="3" spans="1:8" s="2" customFormat="1" ht="36" customHeight="1">
      <c r="A3" s="70" t="s">
        <v>32</v>
      </c>
      <c r="B3" s="70"/>
      <c r="C3" s="70"/>
      <c r="D3" s="70"/>
      <c r="E3" s="70"/>
      <c r="F3" s="70"/>
      <c r="G3" s="70"/>
      <c r="H3" s="70"/>
    </row>
    <row r="4" spans="1:8" s="2" customFormat="1" ht="36" customHeight="1">
      <c r="A4" s="71" t="s">
        <v>98</v>
      </c>
      <c r="B4" s="71"/>
      <c r="C4" s="71"/>
      <c r="D4" s="71"/>
      <c r="E4" s="71"/>
      <c r="F4" s="71"/>
      <c r="G4" s="71"/>
      <c r="H4" s="71"/>
    </row>
    <row r="5" spans="1:8" s="2" customFormat="1" ht="6" customHeight="1">
      <c r="A5" s="21"/>
      <c r="B5" s="21"/>
      <c r="C5" s="22"/>
      <c r="D5" s="22"/>
      <c r="E5" s="22"/>
      <c r="F5" s="22"/>
      <c r="G5" s="21"/>
      <c r="H5" s="21"/>
    </row>
    <row r="6" spans="1:8" s="4" customFormat="1" ht="33" customHeight="1">
      <c r="A6" s="59"/>
      <c r="B6" s="60"/>
      <c r="C6" s="72" t="s">
        <v>33</v>
      </c>
      <c r="D6" s="72"/>
      <c r="E6" s="72"/>
      <c r="F6" s="72"/>
      <c r="G6" s="73" t="s">
        <v>101</v>
      </c>
      <c r="H6" s="73" t="s">
        <v>34</v>
      </c>
    </row>
    <row r="7" spans="1:8" s="4" customFormat="1" ht="11.25" customHeight="1">
      <c r="B7" s="23"/>
      <c r="C7" s="76" t="s">
        <v>35</v>
      </c>
      <c r="D7" s="76"/>
      <c r="E7" s="76"/>
      <c r="F7" s="76"/>
      <c r="G7" s="74"/>
      <c r="H7" s="74"/>
    </row>
    <row r="8" spans="1:8" s="25" customFormat="1" ht="32.25" customHeight="1">
      <c r="A8" s="58"/>
      <c r="B8" s="24"/>
      <c r="C8" s="77" t="s">
        <v>99</v>
      </c>
      <c r="D8" s="77"/>
      <c r="E8" s="77" t="s">
        <v>100</v>
      </c>
      <c r="F8" s="77"/>
      <c r="G8" s="74"/>
      <c r="H8" s="74"/>
    </row>
    <row r="9" spans="1:8" s="26" customFormat="1" ht="9" customHeight="1">
      <c r="A9" s="58"/>
      <c r="B9" s="24"/>
      <c r="C9" s="76" t="s">
        <v>36</v>
      </c>
      <c r="D9" s="76"/>
      <c r="E9" s="76" t="s">
        <v>35</v>
      </c>
      <c r="F9" s="76"/>
      <c r="G9" s="74"/>
      <c r="H9" s="74"/>
    </row>
    <row r="10" spans="1:8" s="27" customFormat="1" ht="37.5" customHeight="1">
      <c r="A10" s="61" t="s">
        <v>37</v>
      </c>
      <c r="B10" s="61" t="s">
        <v>38</v>
      </c>
      <c r="C10" s="62" t="s">
        <v>0</v>
      </c>
      <c r="D10" s="62" t="s">
        <v>1</v>
      </c>
      <c r="E10" s="62" t="s">
        <v>0</v>
      </c>
      <c r="F10" s="62" t="s">
        <v>1</v>
      </c>
      <c r="G10" s="75"/>
      <c r="H10" s="75"/>
    </row>
    <row r="11" spans="1:8" s="3" customFormat="1" ht="13.5" customHeight="1">
      <c r="A11" s="28" t="s">
        <v>35</v>
      </c>
      <c r="B11" s="28" t="s">
        <v>36</v>
      </c>
      <c r="C11" s="29" t="s">
        <v>36</v>
      </c>
      <c r="D11" s="29" t="s">
        <v>35</v>
      </c>
      <c r="E11" s="29" t="s">
        <v>35</v>
      </c>
      <c r="F11" s="29" t="s">
        <v>35</v>
      </c>
      <c r="G11" s="30" t="s">
        <v>35</v>
      </c>
      <c r="H11" s="30" t="s">
        <v>35</v>
      </c>
    </row>
    <row r="12" spans="1:8" s="4" customFormat="1" ht="25.5">
      <c r="A12" s="31">
        <v>1</v>
      </c>
      <c r="B12" s="32" t="s">
        <v>39</v>
      </c>
      <c r="C12" s="66">
        <v>175.91180159999996</v>
      </c>
      <c r="D12" s="66">
        <v>167.44772280000001</v>
      </c>
      <c r="E12" s="66">
        <v>1383.1647429972727</v>
      </c>
      <c r="F12" s="66">
        <v>1196.2798028</v>
      </c>
      <c r="G12" s="51">
        <f t="shared" ref="G12:G36" si="0">E12/$E$50</f>
        <v>6.7426216476860028E-3</v>
      </c>
      <c r="H12" s="51">
        <f>((E12-F12)/F12)</f>
        <v>0.15622176330307658</v>
      </c>
    </row>
    <row r="13" spans="1:8" s="4" customFormat="1" ht="25.5">
      <c r="A13" s="31">
        <v>2</v>
      </c>
      <c r="B13" s="32" t="s">
        <v>40</v>
      </c>
      <c r="C13" s="66">
        <v>1364.6713921000003</v>
      </c>
      <c r="D13" s="66">
        <v>1219.0133613999999</v>
      </c>
      <c r="E13" s="66">
        <v>15781.544087600003</v>
      </c>
      <c r="F13" s="66">
        <v>14115.030049000001</v>
      </c>
      <c r="G13" s="51">
        <f t="shared" si="0"/>
        <v>7.6931530634867157E-2</v>
      </c>
      <c r="H13" s="51">
        <f t="shared" ref="H13:H46" si="1">((E13-F13)/F13)</f>
        <v>0.11806663059269</v>
      </c>
    </row>
    <row r="14" spans="1:8" s="4" customFormat="1" ht="25.5">
      <c r="A14" s="31">
        <v>3</v>
      </c>
      <c r="B14" s="32" t="s">
        <v>41</v>
      </c>
      <c r="C14" s="66">
        <v>633.23929723147126</v>
      </c>
      <c r="D14" s="66">
        <v>590.27011105351869</v>
      </c>
      <c r="E14" s="66">
        <v>5460.5007934047135</v>
      </c>
      <c r="F14" s="66">
        <v>4907.9569964262791</v>
      </c>
      <c r="G14" s="51">
        <f t="shared" si="0"/>
        <v>2.6618731458577825E-2</v>
      </c>
      <c r="H14" s="51">
        <f t="shared" si="1"/>
        <v>0.11258122216245338</v>
      </c>
    </row>
    <row r="15" spans="1:8" s="4" customFormat="1" ht="25.5">
      <c r="A15" s="31">
        <v>4</v>
      </c>
      <c r="B15" s="32" t="s">
        <v>42</v>
      </c>
      <c r="C15" s="66">
        <v>270.80001258235683</v>
      </c>
      <c r="D15" s="66">
        <v>291.08999999999997</v>
      </c>
      <c r="E15" s="66">
        <v>3480.1823384402728</v>
      </c>
      <c r="F15" s="66">
        <v>2990.255632071031</v>
      </c>
      <c r="G15" s="51">
        <f t="shared" si="0"/>
        <v>1.6965117779255127E-2</v>
      </c>
      <c r="H15" s="51">
        <f t="shared" si="1"/>
        <v>0.16384107803850934</v>
      </c>
    </row>
    <row r="16" spans="1:8" s="4" customFormat="1" ht="25.5">
      <c r="A16" s="31">
        <v>5</v>
      </c>
      <c r="B16" s="32" t="s">
        <v>43</v>
      </c>
      <c r="C16" s="66">
        <v>650.61</v>
      </c>
      <c r="D16" s="66">
        <v>675.55</v>
      </c>
      <c r="E16" s="66">
        <v>5855.0486862759999</v>
      </c>
      <c r="F16" s="66">
        <v>5367.759604158</v>
      </c>
      <c r="G16" s="51">
        <f t="shared" si="0"/>
        <v>2.8542065014462194E-2</v>
      </c>
      <c r="H16" s="51">
        <f t="shared" si="1"/>
        <v>9.0780720086744135E-2</v>
      </c>
    </row>
    <row r="17" spans="1:8" s="4" customFormat="1" ht="25.5">
      <c r="A17" s="31">
        <v>6</v>
      </c>
      <c r="B17" s="32" t="s">
        <v>44</v>
      </c>
      <c r="C17" s="66">
        <v>935.996884456869</v>
      </c>
      <c r="D17" s="66">
        <v>1192.090238447</v>
      </c>
      <c r="E17" s="66">
        <v>11266.449591179213</v>
      </c>
      <c r="F17" s="66">
        <v>11732.708047937998</v>
      </c>
      <c r="G17" s="51">
        <f t="shared" si="0"/>
        <v>5.492144539589227E-2</v>
      </c>
      <c r="H17" s="51">
        <f t="shared" si="1"/>
        <v>-3.9740054457481334E-2</v>
      </c>
    </row>
    <row r="18" spans="1:8" s="4" customFormat="1" ht="25.5">
      <c r="A18" s="31">
        <v>7</v>
      </c>
      <c r="B18" s="32" t="s">
        <v>45</v>
      </c>
      <c r="C18" s="66">
        <v>2036.7712687959959</v>
      </c>
      <c r="D18" s="66">
        <v>2092.25</v>
      </c>
      <c r="E18" s="66">
        <v>18660.613105350996</v>
      </c>
      <c r="F18" s="66">
        <v>16722.91</v>
      </c>
      <c r="G18" s="51">
        <f t="shared" si="0"/>
        <v>9.0966354167314731E-2</v>
      </c>
      <c r="H18" s="51">
        <f t="shared" si="1"/>
        <v>0.11587116747928419</v>
      </c>
    </row>
    <row r="19" spans="1:8" s="4" customFormat="1" ht="25.5">
      <c r="A19" s="31">
        <v>8</v>
      </c>
      <c r="B19" s="32" t="s">
        <v>46</v>
      </c>
      <c r="C19" s="66">
        <v>687.85969003799994</v>
      </c>
      <c r="D19" s="66">
        <v>806.86366587499992</v>
      </c>
      <c r="E19" s="66">
        <v>5586.3108597839991</v>
      </c>
      <c r="F19" s="66">
        <v>6738.0437514650002</v>
      </c>
      <c r="G19" s="51">
        <f t="shared" si="0"/>
        <v>2.7232027655838875E-2</v>
      </c>
      <c r="H19" s="51">
        <f t="shared" si="1"/>
        <v>-0.17092986245905406</v>
      </c>
    </row>
    <row r="20" spans="1:8" s="4" customFormat="1" ht="25.5">
      <c r="A20" s="31">
        <v>9</v>
      </c>
      <c r="B20" s="32" t="s">
        <v>47</v>
      </c>
      <c r="C20" s="66">
        <v>9.917960540000001</v>
      </c>
      <c r="D20" s="66">
        <v>25.257272554</v>
      </c>
      <c r="E20" s="66">
        <v>709.96629769662036</v>
      </c>
      <c r="F20" s="66">
        <v>365.401009714</v>
      </c>
      <c r="G20" s="51">
        <f t="shared" si="0"/>
        <v>3.4609283906437433E-3</v>
      </c>
      <c r="H20" s="51">
        <f t="shared" si="1"/>
        <v>0.94297847795306367</v>
      </c>
    </row>
    <row r="21" spans="1:8" s="4" customFormat="1" ht="25.5">
      <c r="A21" s="31">
        <v>10</v>
      </c>
      <c r="B21" s="32" t="s">
        <v>48</v>
      </c>
      <c r="C21" s="66">
        <v>171.12869608499506</v>
      </c>
      <c r="D21" s="66">
        <v>167.073388277996</v>
      </c>
      <c r="E21" s="66">
        <v>1547.9201052198669</v>
      </c>
      <c r="F21" s="66">
        <v>1503.0345596088284</v>
      </c>
      <c r="G21" s="51">
        <f t="shared" si="0"/>
        <v>7.5457675328877653E-3</v>
      </c>
      <c r="H21" s="51">
        <f t="shared" si="1"/>
        <v>2.9863282466851656E-2</v>
      </c>
    </row>
    <row r="22" spans="1:8" s="4" customFormat="1" ht="25.5">
      <c r="A22" s="31">
        <v>11</v>
      </c>
      <c r="B22" s="32" t="s">
        <v>97</v>
      </c>
      <c r="C22" s="66">
        <v>228.57621165256253</v>
      </c>
      <c r="D22" s="66">
        <v>257.80707327900001</v>
      </c>
      <c r="E22" s="66">
        <v>2019.5900960860367</v>
      </c>
      <c r="F22" s="66">
        <v>1773.0322502669999</v>
      </c>
      <c r="G22" s="51">
        <f t="shared" si="0"/>
        <v>9.8450542281851797E-3</v>
      </c>
      <c r="H22" s="51">
        <f t="shared" si="1"/>
        <v>0.13905998933855143</v>
      </c>
    </row>
    <row r="23" spans="1:8" s="4" customFormat="1" ht="25.5">
      <c r="A23" s="31">
        <v>12</v>
      </c>
      <c r="B23" s="32" t="s">
        <v>49</v>
      </c>
      <c r="C23" s="66">
        <v>1421.73</v>
      </c>
      <c r="D23" s="66">
        <v>1477.87</v>
      </c>
      <c r="E23" s="66">
        <v>11773.84</v>
      </c>
      <c r="F23" s="66">
        <v>10798.742584700001</v>
      </c>
      <c r="G23" s="51">
        <f t="shared" si="0"/>
        <v>5.7394861213974642E-2</v>
      </c>
      <c r="H23" s="51">
        <f t="shared" si="1"/>
        <v>9.0297310788901256E-2</v>
      </c>
    </row>
    <row r="24" spans="1:8" s="4" customFormat="1" ht="25.5">
      <c r="A24" s="31">
        <v>13</v>
      </c>
      <c r="B24" s="32" t="s">
        <v>50</v>
      </c>
      <c r="C24" s="66">
        <v>5.1989913879998495</v>
      </c>
      <c r="D24" s="66">
        <v>4.6555360234154568</v>
      </c>
      <c r="E24" s="66">
        <v>37.051015341626147</v>
      </c>
      <c r="F24" s="66">
        <v>42.241615259615301</v>
      </c>
      <c r="G24" s="51">
        <f t="shared" si="0"/>
        <v>1.8061549021979899E-4</v>
      </c>
      <c r="H24" s="51">
        <f t="shared" si="1"/>
        <v>-0.12287882189371623</v>
      </c>
    </row>
    <row r="25" spans="1:8" s="4" customFormat="1" ht="25.5">
      <c r="A25" s="31">
        <v>14</v>
      </c>
      <c r="B25" s="32" t="s">
        <v>51</v>
      </c>
      <c r="C25" s="66">
        <v>16.851500848500475</v>
      </c>
      <c r="D25" s="66">
        <v>23.973970782000752</v>
      </c>
      <c r="E25" s="66">
        <v>297.28400646950377</v>
      </c>
      <c r="F25" s="66">
        <v>133.89508455900585</v>
      </c>
      <c r="G25" s="51">
        <f t="shared" si="0"/>
        <v>1.4491936609000555E-3</v>
      </c>
      <c r="H25" s="51">
        <f t="shared" si="1"/>
        <v>1.2202757289308444</v>
      </c>
    </row>
    <row r="26" spans="1:8" s="4" customFormat="1" ht="25.5">
      <c r="A26" s="31">
        <v>15</v>
      </c>
      <c r="B26" s="32" t="s">
        <v>52</v>
      </c>
      <c r="C26" s="66">
        <v>1033.339226489393</v>
      </c>
      <c r="D26" s="66">
        <v>869.29822328684804</v>
      </c>
      <c r="E26" s="66">
        <v>9270.1324302134235</v>
      </c>
      <c r="F26" s="66">
        <v>8246.3955776361145</v>
      </c>
      <c r="G26" s="51">
        <f t="shared" si="0"/>
        <v>4.5189841569722784E-2</v>
      </c>
      <c r="H26" s="51">
        <f t="shared" si="1"/>
        <v>0.12414355374287904</v>
      </c>
    </row>
    <row r="27" spans="1:8" s="4" customFormat="1" ht="25.5">
      <c r="A27" s="31">
        <v>16</v>
      </c>
      <c r="B27" s="32" t="s">
        <v>53</v>
      </c>
      <c r="C27" s="66">
        <v>290.79982626409719</v>
      </c>
      <c r="D27" s="66">
        <v>284.80644869581249</v>
      </c>
      <c r="E27" s="66">
        <v>2530.6790571703782</v>
      </c>
      <c r="F27" s="66">
        <v>2294.9962481314051</v>
      </c>
      <c r="G27" s="51">
        <f t="shared" si="0"/>
        <v>1.2336499669046467E-2</v>
      </c>
      <c r="H27" s="51">
        <f t="shared" si="1"/>
        <v>0.10269420232423777</v>
      </c>
    </row>
    <row r="28" spans="1:8" s="4" customFormat="1" ht="25.5">
      <c r="A28" s="31">
        <v>17</v>
      </c>
      <c r="B28" s="32" t="s">
        <v>54</v>
      </c>
      <c r="C28" s="66">
        <v>836.69278710512128</v>
      </c>
      <c r="D28" s="66">
        <v>869.33643340000003</v>
      </c>
      <c r="E28" s="66">
        <v>8385.5388301382027</v>
      </c>
      <c r="F28" s="66">
        <v>7512.8563729111756</v>
      </c>
      <c r="G28" s="51">
        <f t="shared" si="0"/>
        <v>4.0877643772989733E-2</v>
      </c>
      <c r="H28" s="51">
        <f t="shared" si="1"/>
        <v>0.11615854395588147</v>
      </c>
    </row>
    <row r="29" spans="1:8" s="4" customFormat="1" ht="25.5">
      <c r="A29" s="31">
        <v>18</v>
      </c>
      <c r="B29" s="32" t="s">
        <v>55</v>
      </c>
      <c r="C29" s="66">
        <v>344.31868197100016</v>
      </c>
      <c r="D29" s="66">
        <v>277.75729619000015</v>
      </c>
      <c r="E29" s="66">
        <v>2302.4769301390002</v>
      </c>
      <c r="F29" s="66">
        <v>1876.785482026</v>
      </c>
      <c r="G29" s="51">
        <f t="shared" si="0"/>
        <v>1.1224064863604933E-2</v>
      </c>
      <c r="H29" s="51">
        <f t="shared" si="1"/>
        <v>0.22681944856769887</v>
      </c>
    </row>
    <row r="30" spans="1:8" s="4" customFormat="1" ht="25.5">
      <c r="A30" s="31">
        <v>19</v>
      </c>
      <c r="B30" s="32" t="s">
        <v>56</v>
      </c>
      <c r="C30" s="66">
        <v>1288.2227638006209</v>
      </c>
      <c r="D30" s="66">
        <v>1150.6756</v>
      </c>
      <c r="E30" s="66">
        <v>11737.586380874143</v>
      </c>
      <c r="F30" s="66">
        <v>9996.8181999999997</v>
      </c>
      <c r="G30" s="51">
        <f t="shared" si="0"/>
        <v>5.7218132853623829E-2</v>
      </c>
      <c r="H30" s="51">
        <f t="shared" si="1"/>
        <v>0.1741322234782807</v>
      </c>
    </row>
    <row r="31" spans="1:8" s="4" customFormat="1" ht="25.5">
      <c r="A31" s="31">
        <v>20</v>
      </c>
      <c r="B31" s="32" t="s">
        <v>57</v>
      </c>
      <c r="C31" s="66">
        <v>2513.5300000000002</v>
      </c>
      <c r="D31" s="66">
        <v>2364.1999999999998</v>
      </c>
      <c r="E31" s="66">
        <v>25113</v>
      </c>
      <c r="F31" s="66">
        <v>24381.430000000004</v>
      </c>
      <c r="G31" s="51">
        <f t="shared" si="0"/>
        <v>0.12242031059251232</v>
      </c>
      <c r="H31" s="51">
        <f t="shared" si="1"/>
        <v>3.0005212983815796E-2</v>
      </c>
    </row>
    <row r="32" spans="1:8" s="4" customFormat="1" ht="25.5">
      <c r="A32" s="31">
        <v>21</v>
      </c>
      <c r="B32" s="32" t="s">
        <v>58</v>
      </c>
      <c r="C32" s="66">
        <v>1474.1000000000004</v>
      </c>
      <c r="D32" s="66">
        <v>1229.0509000000002</v>
      </c>
      <c r="E32" s="66">
        <v>13012.04</v>
      </c>
      <c r="F32" s="66">
        <v>11825.31</v>
      </c>
      <c r="G32" s="51">
        <f t="shared" si="0"/>
        <v>6.3430811860080205E-2</v>
      </c>
      <c r="H32" s="51">
        <f t="shared" si="1"/>
        <v>0.10035508582861688</v>
      </c>
    </row>
    <row r="33" spans="1:8" s="4" customFormat="1" ht="25.5">
      <c r="A33" s="31">
        <v>22</v>
      </c>
      <c r="B33" s="32" t="s">
        <v>59</v>
      </c>
      <c r="C33" s="66">
        <v>1279.03</v>
      </c>
      <c r="D33" s="66">
        <v>1434.53</v>
      </c>
      <c r="E33" s="66">
        <v>12866.550000000001</v>
      </c>
      <c r="F33" s="66">
        <v>12475.01</v>
      </c>
      <c r="G33" s="51">
        <f t="shared" si="0"/>
        <v>6.2721580346995154E-2</v>
      </c>
      <c r="H33" s="51">
        <f t="shared" si="1"/>
        <v>3.1385946784812269E-2</v>
      </c>
    </row>
    <row r="34" spans="1:8" s="4" customFormat="1" ht="25.5">
      <c r="A34" s="31">
        <v>23</v>
      </c>
      <c r="B34" s="32" t="s">
        <v>60</v>
      </c>
      <c r="C34" s="66">
        <v>421.24654198531385</v>
      </c>
      <c r="D34" s="66">
        <v>387.2661248</v>
      </c>
      <c r="E34" s="66">
        <v>3621.7329267546143</v>
      </c>
      <c r="F34" s="66">
        <v>3337.5941161999999</v>
      </c>
      <c r="G34" s="51">
        <f t="shared" si="0"/>
        <v>1.7655145533246864E-2</v>
      </c>
      <c r="H34" s="51">
        <f t="shared" si="1"/>
        <v>8.5132823423753834E-2</v>
      </c>
    </row>
    <row r="35" spans="1:8" s="4" customFormat="1" ht="25.5">
      <c r="A35" s="31">
        <v>24</v>
      </c>
      <c r="B35" s="32" t="s">
        <v>61</v>
      </c>
      <c r="C35" s="66">
        <v>76.67</v>
      </c>
      <c r="D35" s="66">
        <v>84.37</v>
      </c>
      <c r="E35" s="66">
        <v>640.62999999999988</v>
      </c>
      <c r="F35" s="66">
        <v>494.58</v>
      </c>
      <c r="G35" s="51">
        <f t="shared" si="0"/>
        <v>3.1229293025477303E-3</v>
      </c>
      <c r="H35" s="51">
        <f t="shared" si="1"/>
        <v>0.29530106352865038</v>
      </c>
    </row>
    <row r="36" spans="1:8" s="4" customFormat="1" ht="25.5">
      <c r="A36" s="31">
        <v>25</v>
      </c>
      <c r="B36" s="32" t="s">
        <v>90</v>
      </c>
      <c r="C36" s="66">
        <v>143.55000000000001</v>
      </c>
      <c r="D36" s="66">
        <v>125.73</v>
      </c>
      <c r="E36" s="66">
        <v>1239.3370493176612</v>
      </c>
      <c r="F36" s="66">
        <v>929.99898416241672</v>
      </c>
      <c r="G36" s="51">
        <f t="shared" si="0"/>
        <v>6.0414935095876969E-3</v>
      </c>
      <c r="H36" s="51">
        <f t="shared" si="1"/>
        <v>0.3326219387581838</v>
      </c>
    </row>
    <row r="37" spans="1:8" s="4" customFormat="1" ht="25.5">
      <c r="A37" s="31"/>
      <c r="B37" s="49" t="s">
        <v>62</v>
      </c>
      <c r="C37" s="55">
        <f>SUM(C12:C36)</f>
        <v>18310.763534934296</v>
      </c>
      <c r="D37" s="55">
        <f t="shared" ref="D37:F37" si="2">SUM(D12:D36)</f>
        <v>18068.233366864595</v>
      </c>
      <c r="E37" s="55">
        <f t="shared" si="2"/>
        <v>174579.16933045353</v>
      </c>
      <c r="F37" s="55">
        <f t="shared" si="2"/>
        <v>161759.06596903384</v>
      </c>
      <c r="G37" s="56">
        <f t="shared" ref="G37" si="3">E37/$E$99</f>
        <v>0.85103476814466295</v>
      </c>
      <c r="H37" s="63">
        <f t="shared" si="1"/>
        <v>7.9254311247530906E-2</v>
      </c>
    </row>
    <row r="38" spans="1:8" s="4" customFormat="1" ht="25.5">
      <c r="A38" s="31">
        <v>26</v>
      </c>
      <c r="B38" s="32" t="s">
        <v>63</v>
      </c>
      <c r="C38" s="66">
        <v>298.30801289999999</v>
      </c>
      <c r="D38" s="66">
        <v>258.34491980000001</v>
      </c>
      <c r="E38" s="66">
        <v>2817.2317024974896</v>
      </c>
      <c r="F38" s="66">
        <v>2087.7262473243682</v>
      </c>
      <c r="G38" s="51">
        <f t="shared" ref="G38:G45" si="4">E38/$E$50</f>
        <v>1.373338032217636E-2</v>
      </c>
      <c r="H38" s="51">
        <f t="shared" si="1"/>
        <v>0.34942581964855607</v>
      </c>
    </row>
    <row r="39" spans="1:8" s="4" customFormat="1" ht="25.5">
      <c r="A39" s="31">
        <v>27</v>
      </c>
      <c r="B39" s="32" t="s">
        <v>64</v>
      </c>
      <c r="C39" s="66">
        <v>586.66591700000004</v>
      </c>
      <c r="D39" s="66">
        <v>527.75</v>
      </c>
      <c r="E39" s="66">
        <v>5371.5254075106668</v>
      </c>
      <c r="F39" s="66">
        <v>4244.9805586629736</v>
      </c>
      <c r="G39" s="51">
        <f t="shared" si="4"/>
        <v>2.6184996167046035E-2</v>
      </c>
      <c r="H39" s="51">
        <f t="shared" si="1"/>
        <v>0.26538280524010621</v>
      </c>
    </row>
    <row r="40" spans="1:8" s="4" customFormat="1" ht="25.5">
      <c r="A40" s="31">
        <v>28</v>
      </c>
      <c r="B40" s="32" t="s">
        <v>65</v>
      </c>
      <c r="C40" s="66">
        <v>117.14950864637898</v>
      </c>
      <c r="D40" s="66">
        <v>120.45022750736604</v>
      </c>
      <c r="E40" s="66">
        <v>1081.0904818372071</v>
      </c>
      <c r="F40" s="66">
        <v>1016.3461974129127</v>
      </c>
      <c r="G40" s="51">
        <f t="shared" si="4"/>
        <v>5.2700765565690949E-3</v>
      </c>
      <c r="H40" s="51">
        <f t="shared" si="1"/>
        <v>6.3702982890180102E-2</v>
      </c>
    </row>
    <row r="41" spans="1:8" s="4" customFormat="1" ht="25.5">
      <c r="A41" s="31">
        <v>29</v>
      </c>
      <c r="B41" s="32" t="s">
        <v>66</v>
      </c>
      <c r="C41" s="66">
        <v>501.78680745899993</v>
      </c>
      <c r="D41" s="66">
        <v>437.5180920950001</v>
      </c>
      <c r="E41" s="66">
        <v>4156.2401905179995</v>
      </c>
      <c r="F41" s="66">
        <v>3286.9507673330004</v>
      </c>
      <c r="G41" s="51">
        <f t="shared" si="4"/>
        <v>2.0260750010763193E-2</v>
      </c>
      <c r="H41" s="51">
        <f t="shared" si="1"/>
        <v>0.26446682190203052</v>
      </c>
    </row>
    <row r="42" spans="1:8" s="4" customFormat="1" ht="25.5">
      <c r="A42" s="31"/>
      <c r="B42" s="32" t="s">
        <v>67</v>
      </c>
      <c r="C42" s="66">
        <v>0</v>
      </c>
      <c r="D42" s="66">
        <v>0</v>
      </c>
      <c r="E42" s="66">
        <v>0</v>
      </c>
      <c r="F42" s="66">
        <v>0</v>
      </c>
      <c r="G42" s="51">
        <f t="shared" si="4"/>
        <v>0</v>
      </c>
      <c r="H42" s="65" t="e">
        <f t="shared" si="1"/>
        <v>#DIV/0!</v>
      </c>
    </row>
    <row r="43" spans="1:8" s="4" customFormat="1" ht="25.5">
      <c r="A43" s="31">
        <v>30</v>
      </c>
      <c r="B43" s="32" t="s">
        <v>68</v>
      </c>
      <c r="C43" s="66">
        <v>1226.58</v>
      </c>
      <c r="D43" s="66">
        <v>1138.970769</v>
      </c>
      <c r="E43" s="66">
        <v>10223.363803408998</v>
      </c>
      <c r="F43" s="66">
        <v>8948.3065633999995</v>
      </c>
      <c r="G43" s="51">
        <f t="shared" si="4"/>
        <v>4.9836633302017978E-2</v>
      </c>
      <c r="H43" s="51">
        <f t="shared" si="1"/>
        <v>0.14249145701201008</v>
      </c>
    </row>
    <row r="44" spans="1:8" s="4" customFormat="1" ht="25.5">
      <c r="A44" s="31">
        <v>31</v>
      </c>
      <c r="B44" s="32" t="s">
        <v>93</v>
      </c>
      <c r="C44" s="66">
        <v>0.16</v>
      </c>
      <c r="D44" s="66"/>
      <c r="E44" s="66">
        <v>0.4</v>
      </c>
      <c r="F44" s="66">
        <v>0</v>
      </c>
      <c r="G44" s="51">
        <f t="shared" si="4"/>
        <v>1.9499113700874021E-6</v>
      </c>
      <c r="H44" s="65" t="e">
        <f t="shared" si="1"/>
        <v>#DIV/0!</v>
      </c>
    </row>
    <row r="45" spans="1:8" s="4" customFormat="1" ht="25.5">
      <c r="A45" s="31">
        <v>32</v>
      </c>
      <c r="B45" s="32" t="s">
        <v>95</v>
      </c>
      <c r="C45" s="66">
        <v>0.6075695596666667</v>
      </c>
      <c r="D45" s="66">
        <v>0</v>
      </c>
      <c r="E45" s="66">
        <v>0.7275695596666667</v>
      </c>
      <c r="F45" s="66">
        <v>0</v>
      </c>
      <c r="G45" s="51">
        <f t="shared" si="4"/>
        <v>3.5467403923087946E-6</v>
      </c>
      <c r="H45" s="65" t="e">
        <f t="shared" si="1"/>
        <v>#DIV/0!</v>
      </c>
    </row>
    <row r="46" spans="1:8" s="4" customFormat="1" ht="25.5">
      <c r="A46" s="31"/>
      <c r="B46" s="49" t="s">
        <v>69</v>
      </c>
      <c r="C46" s="57">
        <f>SUM(C38:C44)</f>
        <v>2730.6502460053789</v>
      </c>
      <c r="D46" s="57">
        <f>SUM(D38:D44)</f>
        <v>2483.0340084023665</v>
      </c>
      <c r="E46" s="57">
        <f>SUM(E38:E44)</f>
        <v>23649.851585772361</v>
      </c>
      <c r="F46" s="57">
        <f>SUM(F38:F44)</f>
        <v>19584.310334133253</v>
      </c>
      <c r="G46" s="56">
        <f t="shared" ref="G46" si="5">E46/$E$99</f>
        <v>0.11528778626994275</v>
      </c>
      <c r="H46" s="63">
        <f t="shared" si="1"/>
        <v>0.20759174983830431</v>
      </c>
    </row>
    <row r="47" spans="1:8" s="4" customFormat="1" ht="25.5">
      <c r="A47" s="31">
        <v>33</v>
      </c>
      <c r="B47" s="32" t="s">
        <v>70</v>
      </c>
      <c r="C47" s="66">
        <v>502.4817620833</v>
      </c>
      <c r="D47" s="66">
        <v>106.370164229</v>
      </c>
      <c r="E47" s="66">
        <v>6078.847966469215</v>
      </c>
      <c r="F47" s="66">
        <v>6273.6046279849415</v>
      </c>
      <c r="G47" s="51">
        <f>E47/$E$50</f>
        <v>2.9633036917127511E-2</v>
      </c>
      <c r="H47" s="51">
        <f t="shared" ref="H47:H50" si="6">((E47-F47)/F47)</f>
        <v>-3.1043821385709752E-2</v>
      </c>
    </row>
    <row r="48" spans="1:8" s="4" customFormat="1" ht="25.5">
      <c r="A48" s="31">
        <v>34</v>
      </c>
      <c r="B48" s="32" t="s">
        <v>71</v>
      </c>
      <c r="C48" s="66">
        <v>111.9</v>
      </c>
      <c r="D48" s="66">
        <v>103.83</v>
      </c>
      <c r="E48" s="66">
        <v>829.66</v>
      </c>
      <c r="F48" s="66">
        <v>769.43</v>
      </c>
      <c r="G48" s="51">
        <f>E48/$E$50</f>
        <v>4.044408668266785E-3</v>
      </c>
      <c r="H48" s="51">
        <f t="shared" si="6"/>
        <v>7.8278725810015229E-2</v>
      </c>
    </row>
    <row r="49" spans="1:8" s="4" customFormat="1" ht="26.25">
      <c r="A49" s="33"/>
      <c r="B49" s="49" t="s">
        <v>72</v>
      </c>
      <c r="C49" s="48">
        <f>SUM(C47:C48)</f>
        <v>614.38176208330003</v>
      </c>
      <c r="D49" s="48">
        <f t="shared" ref="D49:F49" si="7">SUM(D47:D48)</f>
        <v>210.20016422899999</v>
      </c>
      <c r="E49" s="48">
        <f t="shared" si="7"/>
        <v>6908.5079664692148</v>
      </c>
      <c r="F49" s="48">
        <f t="shared" si="7"/>
        <v>7043.0346279849418</v>
      </c>
      <c r="G49" s="56">
        <f>E49/$E$99</f>
        <v>3.3677445585394296E-2</v>
      </c>
      <c r="H49" s="56">
        <f t="shared" si="6"/>
        <v>-1.9100667343192657E-2</v>
      </c>
    </row>
    <row r="50" spans="1:8" s="4" customFormat="1" ht="26.25">
      <c r="A50" s="33"/>
      <c r="B50" s="54" t="s">
        <v>73</v>
      </c>
      <c r="C50" s="45">
        <f>(C37+C46+C49)</f>
        <v>21655.795543022974</v>
      </c>
      <c r="D50" s="45">
        <f t="shared" ref="D50:F50" si="8">(D37+D46+D49)</f>
        <v>20761.467539495963</v>
      </c>
      <c r="E50" s="45">
        <f t="shared" si="8"/>
        <v>205137.5288826951</v>
      </c>
      <c r="F50" s="45">
        <f t="shared" si="8"/>
        <v>188386.41093115203</v>
      </c>
      <c r="G50" s="56">
        <f>E50/$E$99</f>
        <v>1</v>
      </c>
      <c r="H50" s="56">
        <f t="shared" si="6"/>
        <v>8.8918929283412898E-2</v>
      </c>
    </row>
    <row r="51" spans="1:8" s="6" customFormat="1" ht="20.100000000000001" customHeight="1">
      <c r="A51" s="67" t="s">
        <v>74</v>
      </c>
      <c r="B51" s="67"/>
      <c r="C51" s="67"/>
      <c r="D51" s="67"/>
      <c r="E51" s="34"/>
      <c r="F51" s="34"/>
      <c r="G51" s="35"/>
      <c r="H51" s="36"/>
    </row>
    <row r="52" spans="1:8" s="6" customFormat="1" ht="20.100000000000001" customHeight="1">
      <c r="A52" s="68" t="s">
        <v>75</v>
      </c>
      <c r="B52" s="68"/>
      <c r="C52" s="68"/>
      <c r="D52" s="68"/>
      <c r="E52" s="68"/>
      <c r="F52" s="68"/>
      <c r="G52" s="68"/>
      <c r="H52" s="68"/>
    </row>
    <row r="53" spans="1:8" ht="18">
      <c r="A53" s="37"/>
      <c r="B53" s="38"/>
      <c r="C53" s="39"/>
      <c r="D53" s="39"/>
      <c r="E53" s="39"/>
      <c r="F53" s="39"/>
      <c r="G53" s="40"/>
      <c r="H53" s="40"/>
    </row>
    <row r="54" spans="1:8" s="2" customFormat="1" ht="38.1" customHeight="1">
      <c r="A54" s="69" t="s">
        <v>76</v>
      </c>
      <c r="B54" s="69"/>
      <c r="C54" s="69"/>
      <c r="D54" s="69"/>
      <c r="E54" s="69"/>
      <c r="F54" s="69"/>
      <c r="G54" s="69"/>
      <c r="H54" s="69"/>
    </row>
    <row r="55" spans="1:8" s="2" customFormat="1" ht="38.1" customHeight="1">
      <c r="A55" s="70" t="s">
        <v>91</v>
      </c>
      <c r="B55" s="70"/>
      <c r="C55" s="70"/>
      <c r="D55" s="70"/>
      <c r="E55" s="70"/>
      <c r="F55" s="70"/>
      <c r="G55" s="70"/>
      <c r="H55" s="70"/>
    </row>
    <row r="56" spans="1:8" s="2" customFormat="1" ht="38.1" customHeight="1">
      <c r="A56" s="71" t="s">
        <v>102</v>
      </c>
      <c r="B56" s="71"/>
      <c r="C56" s="71"/>
      <c r="D56" s="71"/>
      <c r="E56" s="71"/>
      <c r="F56" s="71"/>
      <c r="G56" s="71"/>
      <c r="H56" s="71"/>
    </row>
    <row r="57" spans="1:8" s="2" customFormat="1" ht="4.5" customHeight="1">
      <c r="A57" s="21"/>
      <c r="B57" s="21"/>
      <c r="C57" s="22"/>
      <c r="D57" s="22"/>
      <c r="E57" s="22"/>
      <c r="F57" s="22"/>
      <c r="G57" s="21"/>
      <c r="H57" s="21"/>
    </row>
    <row r="58" spans="1:8" s="4" customFormat="1" ht="48.75" customHeight="1">
      <c r="B58" s="23"/>
      <c r="C58" s="82" t="s">
        <v>77</v>
      </c>
      <c r="D58" s="82"/>
      <c r="E58" s="82"/>
      <c r="F58" s="82"/>
      <c r="G58" s="83" t="s">
        <v>103</v>
      </c>
      <c r="H58" s="83" t="s">
        <v>78</v>
      </c>
    </row>
    <row r="59" spans="1:8" s="4" customFormat="1" ht="33" customHeight="1">
      <c r="A59" s="84" t="s">
        <v>79</v>
      </c>
      <c r="B59" s="85" t="s">
        <v>80</v>
      </c>
      <c r="C59" s="76" t="s">
        <v>104</v>
      </c>
      <c r="D59" s="76"/>
      <c r="E59" s="76" t="s">
        <v>105</v>
      </c>
      <c r="F59" s="76"/>
      <c r="G59" s="83"/>
      <c r="H59" s="83"/>
    </row>
    <row r="60" spans="1:8" s="42" customFormat="1" ht="39" customHeight="1">
      <c r="A60" s="84" t="s">
        <v>79</v>
      </c>
      <c r="B60" s="85"/>
      <c r="C60" s="41" t="s">
        <v>0</v>
      </c>
      <c r="D60" s="41" t="s">
        <v>1</v>
      </c>
      <c r="E60" s="41" t="s">
        <v>0</v>
      </c>
      <c r="F60" s="41" t="s">
        <v>1</v>
      </c>
      <c r="G60" s="83"/>
      <c r="H60" s="83"/>
    </row>
    <row r="61" spans="1:8" s="4" customFormat="1" ht="24.75" customHeight="1">
      <c r="A61" s="43">
        <v>1</v>
      </c>
      <c r="B61" s="44" t="s">
        <v>23</v>
      </c>
      <c r="C61" s="66">
        <v>175.91180159999996</v>
      </c>
      <c r="D61" s="66">
        <v>167.44772280000001</v>
      </c>
      <c r="E61" s="66">
        <v>1383.1647429972727</v>
      </c>
      <c r="F61" s="66">
        <v>1196.2798028</v>
      </c>
      <c r="G61" s="52">
        <f t="shared" ref="G61:G86" si="9">E61/$E$99</f>
        <v>6.7426216476860028E-3</v>
      </c>
      <c r="H61" s="52">
        <f t="shared" ref="H61:H85" si="10">((E61-F61)/F61)</f>
        <v>0.15622176330307658</v>
      </c>
    </row>
    <row r="62" spans="1:8" s="4" customFormat="1" ht="24.75" customHeight="1">
      <c r="A62" s="43">
        <v>2</v>
      </c>
      <c r="B62" s="44" t="s">
        <v>5</v>
      </c>
      <c r="C62" s="66">
        <v>1364.6713921000003</v>
      </c>
      <c r="D62" s="66">
        <v>1219.0133613999999</v>
      </c>
      <c r="E62" s="66">
        <v>15781.544087600003</v>
      </c>
      <c r="F62" s="66">
        <v>14115.030049000001</v>
      </c>
      <c r="G62" s="52">
        <f t="shared" si="9"/>
        <v>7.6931530634867157E-2</v>
      </c>
      <c r="H62" s="52">
        <f t="shared" si="10"/>
        <v>0.11806663059269</v>
      </c>
    </row>
    <row r="63" spans="1:8" s="4" customFormat="1" ht="24.75" customHeight="1">
      <c r="A63" s="43">
        <v>3</v>
      </c>
      <c r="B63" s="44" t="s">
        <v>15</v>
      </c>
      <c r="C63" s="66">
        <v>633.23929723147126</v>
      </c>
      <c r="D63" s="66">
        <v>590.27011105351869</v>
      </c>
      <c r="E63" s="66">
        <v>5460.5007934047135</v>
      </c>
      <c r="F63" s="66">
        <v>4907.9569964262791</v>
      </c>
      <c r="G63" s="52">
        <f t="shared" si="9"/>
        <v>2.6618731458577825E-2</v>
      </c>
      <c r="H63" s="52">
        <f t="shared" si="10"/>
        <v>0.11258122216245338</v>
      </c>
    </row>
    <row r="64" spans="1:8" s="4" customFormat="1" ht="24.75" customHeight="1">
      <c r="A64" s="43">
        <v>4</v>
      </c>
      <c r="B64" s="44" t="s">
        <v>17</v>
      </c>
      <c r="C64" s="66">
        <v>270.80001258235683</v>
      </c>
      <c r="D64" s="66">
        <v>291.08999999999997</v>
      </c>
      <c r="E64" s="66">
        <v>3480.1823384402728</v>
      </c>
      <c r="F64" s="66">
        <v>2990.255632071031</v>
      </c>
      <c r="G64" s="52">
        <f t="shared" si="9"/>
        <v>1.6965117779255127E-2</v>
      </c>
      <c r="H64" s="52">
        <f t="shared" si="10"/>
        <v>0.16384107803850934</v>
      </c>
    </row>
    <row r="65" spans="1:8" s="4" customFormat="1" ht="24.75" customHeight="1">
      <c r="A65" s="43">
        <v>5</v>
      </c>
      <c r="B65" s="44" t="s">
        <v>13</v>
      </c>
      <c r="C65" s="66">
        <v>650.61</v>
      </c>
      <c r="D65" s="66">
        <v>675.55</v>
      </c>
      <c r="E65" s="66">
        <v>5855.0486862759999</v>
      </c>
      <c r="F65" s="66">
        <v>5367.759604158</v>
      </c>
      <c r="G65" s="52">
        <f t="shared" si="9"/>
        <v>2.8542065014462194E-2</v>
      </c>
      <c r="H65" s="52">
        <f t="shared" si="10"/>
        <v>9.0780720086744135E-2</v>
      </c>
    </row>
    <row r="66" spans="1:8" s="4" customFormat="1" ht="24.75" customHeight="1">
      <c r="A66" s="43">
        <v>6</v>
      </c>
      <c r="B66" s="44" t="s">
        <v>8</v>
      </c>
      <c r="C66" s="66">
        <v>935.996884456869</v>
      </c>
      <c r="D66" s="66">
        <v>1192.090238447</v>
      </c>
      <c r="E66" s="66">
        <v>11266.449591179213</v>
      </c>
      <c r="F66" s="66">
        <v>11732.708047937998</v>
      </c>
      <c r="G66" s="52">
        <f t="shared" si="9"/>
        <v>5.492144539589227E-2</v>
      </c>
      <c r="H66" s="52">
        <f t="shared" si="10"/>
        <v>-3.9740054457481334E-2</v>
      </c>
    </row>
    <row r="67" spans="1:8" s="4" customFormat="1" ht="24.75" customHeight="1">
      <c r="A67" s="43">
        <v>7</v>
      </c>
      <c r="B67" s="44" t="s">
        <v>3</v>
      </c>
      <c r="C67" s="66">
        <v>2036.7712687959959</v>
      </c>
      <c r="D67" s="66">
        <v>2092.25</v>
      </c>
      <c r="E67" s="66">
        <v>18660.613105350996</v>
      </c>
      <c r="F67" s="66">
        <v>16722.91</v>
      </c>
      <c r="G67" s="52">
        <f t="shared" si="9"/>
        <v>9.0966354167314731E-2</v>
      </c>
      <c r="H67" s="52">
        <f t="shared" si="10"/>
        <v>0.11587116747928419</v>
      </c>
    </row>
    <row r="68" spans="1:8" s="4" customFormat="1" ht="24.75" customHeight="1">
      <c r="A68" s="43">
        <v>8</v>
      </c>
      <c r="B68" s="44" t="s">
        <v>16</v>
      </c>
      <c r="C68" s="66">
        <v>687.85969003799994</v>
      </c>
      <c r="D68" s="66">
        <v>806.86366587499992</v>
      </c>
      <c r="E68" s="66">
        <v>5586.3108597839991</v>
      </c>
      <c r="F68" s="66">
        <v>6738.0437514650002</v>
      </c>
      <c r="G68" s="52">
        <f t="shared" si="9"/>
        <v>2.7232027655838875E-2</v>
      </c>
      <c r="H68" s="52">
        <f t="shared" si="10"/>
        <v>-0.17092986245905406</v>
      </c>
    </row>
    <row r="69" spans="1:8" s="4" customFormat="1" ht="24.75" customHeight="1">
      <c r="A69" s="43">
        <v>9</v>
      </c>
      <c r="B69" s="44" t="s">
        <v>26</v>
      </c>
      <c r="C69" s="66">
        <v>9.917960540000001</v>
      </c>
      <c r="D69" s="66">
        <v>25.257272554</v>
      </c>
      <c r="E69" s="66">
        <v>709.96629769662036</v>
      </c>
      <c r="F69" s="66">
        <v>365.401009714</v>
      </c>
      <c r="G69" s="52">
        <f t="shared" si="9"/>
        <v>3.4609283906437433E-3</v>
      </c>
      <c r="H69" s="52">
        <f t="shared" si="10"/>
        <v>0.94297847795306367</v>
      </c>
    </row>
    <row r="70" spans="1:8" s="4" customFormat="1" ht="24.75" customHeight="1">
      <c r="A70" s="43">
        <v>10</v>
      </c>
      <c r="B70" s="44" t="s">
        <v>22</v>
      </c>
      <c r="C70" s="66">
        <v>171.12869608499506</v>
      </c>
      <c r="D70" s="66">
        <v>167.073388277996</v>
      </c>
      <c r="E70" s="66">
        <v>1547.9201052198669</v>
      </c>
      <c r="F70" s="66">
        <v>1503.0345596088284</v>
      </c>
      <c r="G70" s="52">
        <f t="shared" si="9"/>
        <v>7.5457675328877653E-3</v>
      </c>
      <c r="H70" s="52">
        <f t="shared" si="10"/>
        <v>2.9863282466851656E-2</v>
      </c>
    </row>
    <row r="71" spans="1:8" s="4" customFormat="1" ht="24.75" customHeight="1">
      <c r="A71" s="43">
        <v>11</v>
      </c>
      <c r="B71" s="44" t="s">
        <v>96</v>
      </c>
      <c r="C71" s="66">
        <v>228.57621165256253</v>
      </c>
      <c r="D71" s="66">
        <v>257.80707327900001</v>
      </c>
      <c r="E71" s="66">
        <v>2019.5900960860367</v>
      </c>
      <c r="F71" s="66">
        <v>1773.0322502669999</v>
      </c>
      <c r="G71" s="52">
        <f t="shared" si="9"/>
        <v>9.8450542281851797E-3</v>
      </c>
      <c r="H71" s="52">
        <f t="shared" si="10"/>
        <v>0.13905998933855143</v>
      </c>
    </row>
    <row r="72" spans="1:8" s="4" customFormat="1" ht="24.75" customHeight="1">
      <c r="A72" s="43">
        <v>12</v>
      </c>
      <c r="B72" s="44" t="s">
        <v>9</v>
      </c>
      <c r="C72" s="66">
        <v>1421.73</v>
      </c>
      <c r="D72" s="66">
        <v>1477.87</v>
      </c>
      <c r="E72" s="66">
        <v>11773.84</v>
      </c>
      <c r="F72" s="66">
        <v>10798.742584700001</v>
      </c>
      <c r="G72" s="52">
        <f t="shared" si="9"/>
        <v>5.7394861213974642E-2</v>
      </c>
      <c r="H72" s="52">
        <f t="shared" si="10"/>
        <v>9.0297310788901256E-2</v>
      </c>
    </row>
    <row r="73" spans="1:8" s="4" customFormat="1" ht="24.75" customHeight="1">
      <c r="A73" s="43">
        <v>13</v>
      </c>
      <c r="B73" s="44" t="s">
        <v>30</v>
      </c>
      <c r="C73" s="66">
        <v>5.1989913879998495</v>
      </c>
      <c r="D73" s="66">
        <v>4.6555360234154568</v>
      </c>
      <c r="E73" s="66">
        <v>37.051015341626147</v>
      </c>
      <c r="F73" s="66">
        <v>42.241615259615301</v>
      </c>
      <c r="G73" s="52">
        <f t="shared" si="9"/>
        <v>1.8061549021979899E-4</v>
      </c>
      <c r="H73" s="52">
        <f t="shared" si="10"/>
        <v>-0.12287882189371623</v>
      </c>
    </row>
    <row r="74" spans="1:8" s="4" customFormat="1" ht="24.75" customHeight="1">
      <c r="A74" s="43">
        <v>14</v>
      </c>
      <c r="B74" s="44" t="s">
        <v>29</v>
      </c>
      <c r="C74" s="66">
        <v>16.851500848500475</v>
      </c>
      <c r="D74" s="66">
        <v>23.973970782000752</v>
      </c>
      <c r="E74" s="66">
        <v>297.28400646950377</v>
      </c>
      <c r="F74" s="66">
        <v>133.89508455900585</v>
      </c>
      <c r="G74" s="52">
        <f t="shared" si="9"/>
        <v>1.4491936609000555E-3</v>
      </c>
      <c r="H74" s="52">
        <f t="shared" si="10"/>
        <v>1.2202757289308444</v>
      </c>
    </row>
    <row r="75" spans="1:8" s="4" customFormat="1" ht="24.75" customHeight="1">
      <c r="A75" s="43">
        <v>15</v>
      </c>
      <c r="B75" s="44" t="s">
        <v>11</v>
      </c>
      <c r="C75" s="66">
        <v>1033.339226489393</v>
      </c>
      <c r="D75" s="66">
        <v>869.29822328684804</v>
      </c>
      <c r="E75" s="66">
        <v>9270.1324302134235</v>
      </c>
      <c r="F75" s="66">
        <v>8246.3955776361145</v>
      </c>
      <c r="G75" s="52">
        <f t="shared" si="9"/>
        <v>4.5189841569722784E-2</v>
      </c>
      <c r="H75" s="52">
        <f t="shared" si="10"/>
        <v>0.12414355374287904</v>
      </c>
    </row>
    <row r="76" spans="1:8" s="4" customFormat="1" ht="24.75" customHeight="1">
      <c r="A76" s="43">
        <v>16</v>
      </c>
      <c r="B76" s="44" t="s">
        <v>20</v>
      </c>
      <c r="C76" s="66">
        <v>290.79982626409719</v>
      </c>
      <c r="D76" s="66">
        <v>284.80644869581249</v>
      </c>
      <c r="E76" s="66">
        <v>2530.6790571703782</v>
      </c>
      <c r="F76" s="66">
        <v>2294.9962481314051</v>
      </c>
      <c r="G76" s="52">
        <f t="shared" si="9"/>
        <v>1.2336499669046467E-2</v>
      </c>
      <c r="H76" s="52">
        <f t="shared" si="10"/>
        <v>0.10269420232423777</v>
      </c>
    </row>
    <row r="77" spans="1:8" s="4" customFormat="1" ht="24.75" customHeight="1">
      <c r="A77" s="43">
        <v>17</v>
      </c>
      <c r="B77" s="44" t="s">
        <v>12</v>
      </c>
      <c r="C77" s="66">
        <v>836.69278710512128</v>
      </c>
      <c r="D77" s="66">
        <v>869.33643340000003</v>
      </c>
      <c r="E77" s="66">
        <v>8385.5388301382027</v>
      </c>
      <c r="F77" s="66">
        <v>7512.8563729111756</v>
      </c>
      <c r="G77" s="52">
        <f t="shared" si="9"/>
        <v>4.0877643772989733E-2</v>
      </c>
      <c r="H77" s="52">
        <f t="shared" si="10"/>
        <v>0.11615854395588147</v>
      </c>
    </row>
    <row r="78" spans="1:8" s="4" customFormat="1" ht="24.75" customHeight="1">
      <c r="A78" s="43">
        <v>18</v>
      </c>
      <c r="B78" s="44" t="s">
        <v>21</v>
      </c>
      <c r="C78" s="66">
        <v>344.31868197100016</v>
      </c>
      <c r="D78" s="66">
        <v>277.75729619000015</v>
      </c>
      <c r="E78" s="66">
        <v>2302.4769301390002</v>
      </c>
      <c r="F78" s="66">
        <v>1876.785482026</v>
      </c>
      <c r="G78" s="52">
        <f t="shared" si="9"/>
        <v>1.1224064863604933E-2</v>
      </c>
      <c r="H78" s="52">
        <f t="shared" si="10"/>
        <v>0.22681944856769887</v>
      </c>
    </row>
    <row r="79" spans="1:8" s="4" customFormat="1" ht="24.75" customHeight="1">
      <c r="A79" s="43">
        <v>19</v>
      </c>
      <c r="B79" s="44" t="s">
        <v>7</v>
      </c>
      <c r="C79" s="66">
        <v>1288.2227638006209</v>
      </c>
      <c r="D79" s="66">
        <v>1150.6756</v>
      </c>
      <c r="E79" s="66">
        <v>11737.586380874143</v>
      </c>
      <c r="F79" s="66">
        <v>9996.8181999999997</v>
      </c>
      <c r="G79" s="52">
        <f t="shared" si="9"/>
        <v>5.7218132853623829E-2</v>
      </c>
      <c r="H79" s="52">
        <f t="shared" si="10"/>
        <v>0.1741322234782807</v>
      </c>
    </row>
    <row r="80" spans="1:8" s="4" customFormat="1" ht="24.75" customHeight="1">
      <c r="A80" s="43">
        <v>20</v>
      </c>
      <c r="B80" s="44" t="s">
        <v>2</v>
      </c>
      <c r="C80" s="66">
        <v>2513.5300000000002</v>
      </c>
      <c r="D80" s="66">
        <v>2364.1999999999998</v>
      </c>
      <c r="E80" s="66">
        <v>25113</v>
      </c>
      <c r="F80" s="66">
        <v>24381.430000000004</v>
      </c>
      <c r="G80" s="52">
        <f t="shared" si="9"/>
        <v>0.12242031059251232</v>
      </c>
      <c r="H80" s="52">
        <f t="shared" si="10"/>
        <v>3.0005212983815796E-2</v>
      </c>
    </row>
    <row r="81" spans="1:8" s="4" customFormat="1" ht="24.75" customHeight="1">
      <c r="A81" s="43">
        <v>21</v>
      </c>
      <c r="B81" s="44" t="s">
        <v>6</v>
      </c>
      <c r="C81" s="66">
        <v>1474.1000000000004</v>
      </c>
      <c r="D81" s="66">
        <v>1229.0509000000002</v>
      </c>
      <c r="E81" s="66">
        <v>13012.04</v>
      </c>
      <c r="F81" s="66">
        <v>11825.31</v>
      </c>
      <c r="G81" s="52">
        <f t="shared" si="9"/>
        <v>6.3430811860080205E-2</v>
      </c>
      <c r="H81" s="52">
        <f t="shared" si="10"/>
        <v>0.10035508582861688</v>
      </c>
    </row>
    <row r="82" spans="1:8" s="4" customFormat="1" ht="24.75" customHeight="1">
      <c r="A82" s="43">
        <v>22</v>
      </c>
      <c r="B82" s="44" t="s">
        <v>4</v>
      </c>
      <c r="C82" s="66">
        <v>1279.03</v>
      </c>
      <c r="D82" s="66">
        <v>1434.53</v>
      </c>
      <c r="E82" s="66">
        <v>12866.550000000001</v>
      </c>
      <c r="F82" s="66">
        <v>12475.01</v>
      </c>
      <c r="G82" s="52">
        <f t="shared" si="9"/>
        <v>6.2721580346995154E-2</v>
      </c>
      <c r="H82" s="52">
        <f t="shared" si="10"/>
        <v>3.1385946784812269E-2</v>
      </c>
    </row>
    <row r="83" spans="1:8" s="4" customFormat="1" ht="24.75" customHeight="1">
      <c r="A83" s="43">
        <v>23</v>
      </c>
      <c r="B83" s="44" t="s">
        <v>18</v>
      </c>
      <c r="C83" s="66">
        <v>421.24654198531385</v>
      </c>
      <c r="D83" s="66">
        <v>387.2661248</v>
      </c>
      <c r="E83" s="66">
        <v>3621.7329267546143</v>
      </c>
      <c r="F83" s="66">
        <v>3337.5941161999999</v>
      </c>
      <c r="G83" s="52">
        <f t="shared" si="9"/>
        <v>1.7655145533246864E-2</v>
      </c>
      <c r="H83" s="52">
        <f t="shared" si="10"/>
        <v>8.5132823423753834E-2</v>
      </c>
    </row>
    <row r="84" spans="1:8" s="4" customFormat="1" ht="24.75" customHeight="1">
      <c r="A84" s="43">
        <v>24</v>
      </c>
      <c r="B84" s="44" t="s">
        <v>27</v>
      </c>
      <c r="C84" s="66">
        <v>76.67</v>
      </c>
      <c r="D84" s="66">
        <v>84.37</v>
      </c>
      <c r="E84" s="66">
        <v>640.62999999999988</v>
      </c>
      <c r="F84" s="66">
        <v>494.58</v>
      </c>
      <c r="G84" s="52">
        <f t="shared" si="9"/>
        <v>3.1229293025477303E-3</v>
      </c>
      <c r="H84" s="52">
        <f t="shared" si="10"/>
        <v>0.29530106352865038</v>
      </c>
    </row>
    <row r="85" spans="1:8" s="4" customFormat="1" ht="24.75" customHeight="1">
      <c r="A85" s="43">
        <v>25</v>
      </c>
      <c r="B85" s="44" t="s">
        <v>89</v>
      </c>
      <c r="C85" s="66">
        <v>143.55000000000001</v>
      </c>
      <c r="D85" s="66">
        <v>125.73</v>
      </c>
      <c r="E85" s="66">
        <v>1239.3370493176612</v>
      </c>
      <c r="F85" s="66">
        <v>929.99898416241672</v>
      </c>
      <c r="G85" s="52">
        <f t="shared" si="9"/>
        <v>6.0414935095876969E-3</v>
      </c>
      <c r="H85" s="52">
        <f t="shared" si="10"/>
        <v>0.3326219387581838</v>
      </c>
    </row>
    <row r="86" spans="1:8" s="4" customFormat="1" ht="24.75" customHeight="1">
      <c r="A86" s="43"/>
      <c r="B86" s="47" t="s">
        <v>81</v>
      </c>
      <c r="C86" s="55">
        <f>SUM(C61:C85)</f>
        <v>18310.763534934296</v>
      </c>
      <c r="D86" s="55">
        <f t="shared" ref="D86:F86" si="11">SUM(D61:D85)</f>
        <v>18068.233366864595</v>
      </c>
      <c r="E86" s="55">
        <f t="shared" si="11"/>
        <v>174579.16933045353</v>
      </c>
      <c r="F86" s="55">
        <f t="shared" si="11"/>
        <v>161759.06596903384</v>
      </c>
      <c r="G86" s="53">
        <f t="shared" si="9"/>
        <v>0.85103476814466295</v>
      </c>
      <c r="H86" s="53">
        <f t="shared" ref="H86" si="12">((E86-F86)/F86)</f>
        <v>7.9254311247530906E-2</v>
      </c>
    </row>
    <row r="87" spans="1:8" s="4" customFormat="1" ht="24.75" customHeight="1">
      <c r="A87" s="43">
        <v>26</v>
      </c>
      <c r="B87" s="44" t="s">
        <v>19</v>
      </c>
      <c r="C87" s="66">
        <v>298.30801289999999</v>
      </c>
      <c r="D87" s="66">
        <v>258.34491980000001</v>
      </c>
      <c r="E87" s="66">
        <v>2817.2317024974896</v>
      </c>
      <c r="F87" s="66">
        <v>2087.7262473243682</v>
      </c>
      <c r="G87" s="52">
        <f t="shared" ref="G87:G94" si="13">E87/$E$99</f>
        <v>1.373338032217636E-2</v>
      </c>
      <c r="H87" s="52">
        <f>((E87-F87)/F87)</f>
        <v>0.34942581964855607</v>
      </c>
    </row>
    <row r="88" spans="1:8" s="5" customFormat="1" ht="24.75" customHeight="1">
      <c r="A88" s="43">
        <v>27</v>
      </c>
      <c r="B88" s="44" t="s">
        <v>14</v>
      </c>
      <c r="C88" s="66">
        <v>586.66591700000004</v>
      </c>
      <c r="D88" s="66">
        <v>527.75</v>
      </c>
      <c r="E88" s="66">
        <v>5371.5254075106668</v>
      </c>
      <c r="F88" s="66">
        <v>4244.9805586629736</v>
      </c>
      <c r="G88" s="52">
        <f t="shared" si="13"/>
        <v>2.6184996167046035E-2</v>
      </c>
      <c r="H88" s="52">
        <f t="shared" ref="H88:H94" si="14">((E88-F88)/F88)</f>
        <v>0.26538280524010621</v>
      </c>
    </row>
    <row r="89" spans="1:8" s="4" customFormat="1" ht="24.75" customHeight="1">
      <c r="A89" s="43">
        <v>28</v>
      </c>
      <c r="B89" s="44" t="s">
        <v>24</v>
      </c>
      <c r="C89" s="66">
        <v>117.14950864637898</v>
      </c>
      <c r="D89" s="66">
        <v>120.45022750736604</v>
      </c>
      <c r="E89" s="66">
        <v>1081.0904818372071</v>
      </c>
      <c r="F89" s="66">
        <v>1016.3461974129127</v>
      </c>
      <c r="G89" s="52">
        <f t="shared" si="13"/>
        <v>5.2700765565690949E-3</v>
      </c>
      <c r="H89" s="52">
        <f t="shared" si="14"/>
        <v>6.3702982890180102E-2</v>
      </c>
    </row>
    <row r="90" spans="1:8" s="4" customFormat="1" ht="24.75" customHeight="1">
      <c r="A90" s="43">
        <v>29</v>
      </c>
      <c r="B90" s="44" t="s">
        <v>82</v>
      </c>
      <c r="C90" s="66">
        <v>501.78680745899993</v>
      </c>
      <c r="D90" s="66">
        <v>437.5180920950001</v>
      </c>
      <c r="E90" s="66">
        <v>4156.2401905179995</v>
      </c>
      <c r="F90" s="66">
        <v>3286.9507673330004</v>
      </c>
      <c r="G90" s="52">
        <f t="shared" si="13"/>
        <v>2.0260750010763193E-2</v>
      </c>
      <c r="H90" s="52">
        <f t="shared" si="14"/>
        <v>0.26446682190203052</v>
      </c>
    </row>
    <row r="91" spans="1:8" s="4" customFormat="1" ht="24.75" customHeight="1">
      <c r="A91" s="43"/>
      <c r="B91" s="44" t="s">
        <v>83</v>
      </c>
      <c r="C91" s="66">
        <v>0</v>
      </c>
      <c r="D91" s="66">
        <v>0</v>
      </c>
      <c r="E91" s="66">
        <v>0</v>
      </c>
      <c r="F91" s="66">
        <v>0</v>
      </c>
      <c r="G91" s="52">
        <f t="shared" si="13"/>
        <v>0</v>
      </c>
      <c r="H91" s="64" t="e">
        <f t="shared" si="14"/>
        <v>#DIV/0!</v>
      </c>
    </row>
    <row r="92" spans="1:8" s="4" customFormat="1" ht="24.75" customHeight="1">
      <c r="A92" s="43">
        <v>30</v>
      </c>
      <c r="B92" s="44" t="s">
        <v>10</v>
      </c>
      <c r="C92" s="66">
        <v>1226.58</v>
      </c>
      <c r="D92" s="66">
        <v>1138.970769</v>
      </c>
      <c r="E92" s="66">
        <v>10223.363803408998</v>
      </c>
      <c r="F92" s="66">
        <v>8948.3065633999995</v>
      </c>
      <c r="G92" s="52">
        <f t="shared" si="13"/>
        <v>4.9836633302017978E-2</v>
      </c>
      <c r="H92" s="52">
        <f t="shared" si="14"/>
        <v>0.14249145701201008</v>
      </c>
    </row>
    <row r="93" spans="1:8" s="4" customFormat="1" ht="24.75" customHeight="1">
      <c r="A93" s="43">
        <v>31</v>
      </c>
      <c r="B93" s="44" t="s">
        <v>92</v>
      </c>
      <c r="C93" s="66">
        <v>0.16</v>
      </c>
      <c r="D93" s="66"/>
      <c r="E93" s="66">
        <v>0.4</v>
      </c>
      <c r="F93" s="66">
        <v>0</v>
      </c>
      <c r="G93" s="52">
        <f t="shared" si="13"/>
        <v>1.9499113700874021E-6</v>
      </c>
      <c r="H93" s="64" t="e">
        <f t="shared" si="14"/>
        <v>#DIV/0!</v>
      </c>
    </row>
    <row r="94" spans="1:8" s="4" customFormat="1" ht="24.75" customHeight="1">
      <c r="A94" s="43">
        <v>32</v>
      </c>
      <c r="B94" s="44" t="s">
        <v>94</v>
      </c>
      <c r="C94" s="66">
        <v>0.6075695596666667</v>
      </c>
      <c r="D94" s="66">
        <v>0</v>
      </c>
      <c r="E94" s="66">
        <v>0.7275695596666667</v>
      </c>
      <c r="F94" s="66">
        <v>0</v>
      </c>
      <c r="G94" s="52">
        <f t="shared" si="13"/>
        <v>3.5467403923087946E-6</v>
      </c>
      <c r="H94" s="64" t="e">
        <f t="shared" si="14"/>
        <v>#DIV/0!</v>
      </c>
    </row>
    <row r="95" spans="1:8" s="4" customFormat="1" ht="24.75" customHeight="1">
      <c r="A95" s="43"/>
      <c r="B95" s="47" t="s">
        <v>84</v>
      </c>
      <c r="C95" s="57">
        <f>SUM(C87:C93)</f>
        <v>2730.6502460053789</v>
      </c>
      <c r="D95" s="57">
        <f t="shared" ref="D95:F95" si="15">SUM(D87:D93)</f>
        <v>2483.0340084023665</v>
      </c>
      <c r="E95" s="57">
        <f t="shared" si="15"/>
        <v>23649.851585772361</v>
      </c>
      <c r="F95" s="57">
        <f t="shared" si="15"/>
        <v>19584.310334133253</v>
      </c>
      <c r="G95" s="53">
        <f t="shared" ref="G95" si="16">E95/$E$99</f>
        <v>0.11528778626994275</v>
      </c>
      <c r="H95" s="53">
        <f t="shared" ref="H95:H99" si="17">((E95-F95)/F95)</f>
        <v>0.20759174983830431</v>
      </c>
    </row>
    <row r="96" spans="1:8" s="4" customFormat="1" ht="24.75" customHeight="1">
      <c r="A96" s="31">
        <v>33</v>
      </c>
      <c r="B96" s="44" t="s">
        <v>28</v>
      </c>
      <c r="C96" s="66">
        <v>502.4817620833</v>
      </c>
      <c r="D96" s="66">
        <v>106.370164229</v>
      </c>
      <c r="E96" s="66">
        <v>6078.847966469215</v>
      </c>
      <c r="F96" s="66">
        <v>6273.6046279849415</v>
      </c>
      <c r="G96" s="52">
        <f>E96/$E$99</f>
        <v>2.9633036917127511E-2</v>
      </c>
      <c r="H96" s="52">
        <f t="shared" si="17"/>
        <v>-3.1043821385709752E-2</v>
      </c>
    </row>
    <row r="97" spans="1:8" s="4" customFormat="1" ht="24.75" customHeight="1">
      <c r="A97" s="31">
        <v>34</v>
      </c>
      <c r="B97" s="44" t="s">
        <v>25</v>
      </c>
      <c r="C97" s="66">
        <v>111.9</v>
      </c>
      <c r="D97" s="66">
        <v>103.83</v>
      </c>
      <c r="E97" s="66">
        <v>829.66</v>
      </c>
      <c r="F97" s="66">
        <v>769.43</v>
      </c>
      <c r="G97" s="52">
        <f>E97/$E$99</f>
        <v>4.044408668266785E-3</v>
      </c>
      <c r="H97" s="52">
        <f t="shared" si="17"/>
        <v>7.8278725810015229E-2</v>
      </c>
    </row>
    <row r="98" spans="1:8" s="4" customFormat="1" ht="26.25">
      <c r="A98" s="43"/>
      <c r="B98" s="47" t="s">
        <v>85</v>
      </c>
      <c r="C98" s="48">
        <f>SUM(C96:C97)</f>
        <v>614.38176208330003</v>
      </c>
      <c r="D98" s="48">
        <f t="shared" ref="D98:F98" si="18">SUM(D96:D97)</f>
        <v>210.20016422899999</v>
      </c>
      <c r="E98" s="48">
        <f t="shared" si="18"/>
        <v>6908.5079664692148</v>
      </c>
      <c r="F98" s="48">
        <f t="shared" si="18"/>
        <v>7043.0346279849418</v>
      </c>
      <c r="G98" s="53">
        <f>E98/$E$99</f>
        <v>3.3677445585394296E-2</v>
      </c>
      <c r="H98" s="53">
        <f t="shared" si="17"/>
        <v>-1.9100667343192657E-2</v>
      </c>
    </row>
    <row r="99" spans="1:8" s="4" customFormat="1" ht="26.25">
      <c r="A99" s="43"/>
      <c r="B99" s="46" t="s">
        <v>86</v>
      </c>
      <c r="C99" s="45">
        <f>(C86+C95+C98)</f>
        <v>21655.795543022974</v>
      </c>
      <c r="D99" s="45">
        <f t="shared" ref="D99:F99" si="19">(D86+D95+D98)</f>
        <v>20761.467539495963</v>
      </c>
      <c r="E99" s="45">
        <f t="shared" si="19"/>
        <v>205137.5288826951</v>
      </c>
      <c r="F99" s="45">
        <f t="shared" si="19"/>
        <v>188386.41093115203</v>
      </c>
      <c r="G99" s="53">
        <f>E99/$E$99</f>
        <v>1</v>
      </c>
      <c r="H99" s="53">
        <f t="shared" si="17"/>
        <v>8.8918929283412898E-2</v>
      </c>
    </row>
    <row r="100" spans="1:8" s="6" customFormat="1" ht="15">
      <c r="A100" s="81" t="s">
        <v>87</v>
      </c>
      <c r="B100" s="81"/>
      <c r="C100" s="81"/>
      <c r="D100" s="81"/>
      <c r="E100" s="81"/>
      <c r="F100" s="81"/>
      <c r="G100" s="81"/>
      <c r="H100" s="81"/>
    </row>
    <row r="101" spans="1:8" s="6" customFormat="1" ht="15" customHeight="1">
      <c r="A101" s="81" t="s">
        <v>88</v>
      </c>
      <c r="B101" s="81"/>
      <c r="C101" s="81"/>
      <c r="D101" s="50"/>
      <c r="E101" s="50"/>
      <c r="F101" s="50"/>
      <c r="G101" s="50"/>
      <c r="H101" s="50"/>
    </row>
    <row r="102" spans="1:8" ht="15.75">
      <c r="A102" s="80"/>
      <c r="B102" s="80"/>
      <c r="C102" s="80"/>
      <c r="D102" s="10"/>
      <c r="E102" s="9"/>
      <c r="F102" s="9"/>
      <c r="G102" s="8"/>
      <c r="H102" s="8"/>
    </row>
    <row r="103" spans="1:8" ht="15.75" customHeight="1">
      <c r="A103" s="78" t="s">
        <v>106</v>
      </c>
      <c r="B103" s="79"/>
      <c r="C103" s="79"/>
      <c r="D103" s="79"/>
      <c r="E103" s="79"/>
      <c r="F103" s="79"/>
      <c r="G103" s="79"/>
      <c r="H103" s="79"/>
    </row>
    <row r="104" spans="1:8" ht="15.75" customHeight="1">
      <c r="A104" s="79"/>
      <c r="B104" s="79"/>
      <c r="C104" s="79"/>
      <c r="D104" s="79"/>
      <c r="E104" s="79"/>
      <c r="F104" s="79"/>
      <c r="G104" s="79"/>
      <c r="H104" s="79"/>
    </row>
    <row r="105" spans="1:8" ht="15.75" customHeight="1">
      <c r="A105" s="79"/>
      <c r="B105" s="79"/>
      <c r="C105" s="79"/>
      <c r="D105" s="79"/>
      <c r="E105" s="79"/>
      <c r="F105" s="79"/>
      <c r="G105" s="79"/>
      <c r="H105" s="79"/>
    </row>
    <row r="110" spans="1:8">
      <c r="B110" s="12"/>
      <c r="C110" s="13"/>
      <c r="D110" s="13"/>
      <c r="E110" s="14"/>
    </row>
    <row r="111" spans="1:8">
      <c r="C111" s="13"/>
      <c r="D111" s="13"/>
      <c r="E111" s="14"/>
    </row>
    <row r="65453" spans="1:7" s="11" customFormat="1">
      <c r="A65453" s="7"/>
      <c r="B65453" s="16"/>
      <c r="C65453" s="15"/>
      <c r="D65453" s="15"/>
      <c r="E65453" s="15"/>
      <c r="F65453" s="15"/>
      <c r="G65453" s="1">
        <v>0</v>
      </c>
    </row>
  </sheetData>
  <sortState ref="B59:H83">
    <sortCondition ref="B59:B83"/>
  </sortState>
  <mergeCells count="27">
    <mergeCell ref="A103:H105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2" fitToHeight="2" orientation="landscape" r:id="rId1"/>
  <headerFooter alignWithMargins="0"/>
  <rowBreaks count="1" manualBreakCount="1">
    <brk id="5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2024-10-21T05:10:54Z</cp:lastPrinted>
  <dcterms:created xsi:type="dcterms:W3CDTF">2024-07-04T10:52:00Z</dcterms:created>
  <dcterms:modified xsi:type="dcterms:W3CDTF">2024-12-17T12:38:55Z</dcterms:modified>
</cp:coreProperties>
</file>