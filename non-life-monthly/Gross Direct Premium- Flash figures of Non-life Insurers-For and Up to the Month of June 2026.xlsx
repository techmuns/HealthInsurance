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6-27\GDP Flash Figures\3. June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Website!$A$61:$H$103</definedName>
    <definedName name="New_India" localSheetId="0">Website!$C$84:$F$87</definedName>
    <definedName name="New_India">#REF!</definedName>
    <definedName name="_xlnm.Print_Area" localSheetId="0">Website!$A$2:$H$103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2" l="1"/>
  <c r="C50" i="2"/>
  <c r="F50" i="2"/>
  <c r="D47" i="2"/>
  <c r="C47" i="2"/>
  <c r="D38" i="2"/>
  <c r="C38" i="2"/>
  <c r="C51" i="2" l="1"/>
  <c r="D51" i="2"/>
  <c r="E47" i="2"/>
  <c r="F47" i="2"/>
  <c r="E38" i="2"/>
  <c r="F38" i="2"/>
  <c r="E50" i="2"/>
  <c r="F51" i="2" l="1"/>
  <c r="E51" i="2"/>
  <c r="H63" i="2"/>
  <c r="H64" i="2"/>
  <c r="H65" i="2"/>
  <c r="H66" i="2"/>
  <c r="H67" i="2"/>
  <c r="H68" i="2"/>
  <c r="H69" i="2"/>
  <c r="H70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9" i="2"/>
  <c r="H90" i="2"/>
  <c r="H91" i="2"/>
  <c r="H92" i="2"/>
  <c r="H94" i="2"/>
  <c r="H95" i="2"/>
  <c r="H96" i="2"/>
  <c r="H98" i="2"/>
  <c r="H99" i="2"/>
  <c r="C88" i="2" l="1"/>
  <c r="H62" i="2" l="1"/>
  <c r="F88" i="2" l="1"/>
  <c r="E88" i="2"/>
  <c r="D88" i="2"/>
  <c r="C100" i="2"/>
  <c r="D97" i="2"/>
  <c r="C97" i="2"/>
  <c r="F97" i="2"/>
  <c r="E97" i="2"/>
  <c r="H97" i="2" l="1"/>
  <c r="H88" i="2"/>
  <c r="H40" i="2"/>
  <c r="H41" i="2"/>
  <c r="H42" i="2"/>
  <c r="H44" i="2"/>
  <c r="H45" i="2"/>
  <c r="H47" i="2" l="1"/>
  <c r="H39" i="2"/>
  <c r="H13" i="2"/>
  <c r="H14" i="2"/>
  <c r="H15" i="2"/>
  <c r="H16" i="2"/>
  <c r="H17" i="2"/>
  <c r="H18" i="2"/>
  <c r="H19" i="2"/>
  <c r="H20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12" i="2"/>
  <c r="H38" i="2" l="1"/>
  <c r="H50" i="2"/>
  <c r="H49" i="2"/>
  <c r="H48" i="2"/>
  <c r="G40" i="2" l="1"/>
  <c r="G41" i="2"/>
  <c r="G42" i="2"/>
  <c r="G44" i="2"/>
  <c r="G45" i="2"/>
  <c r="G46" i="2"/>
  <c r="H51" i="2"/>
  <c r="G28" i="2"/>
  <c r="G29" i="2"/>
  <c r="G12" i="2"/>
  <c r="G30" i="2"/>
  <c r="G31" i="2"/>
  <c r="G32" i="2"/>
  <c r="G33" i="2"/>
  <c r="G13" i="2"/>
  <c r="G34" i="2"/>
  <c r="G14" i="2"/>
  <c r="G35" i="2"/>
  <c r="G15" i="2"/>
  <c r="G36" i="2"/>
  <c r="G16" i="2"/>
  <c r="G37" i="2"/>
  <c r="G17" i="2"/>
  <c r="G39" i="2"/>
  <c r="G18" i="2"/>
  <c r="G19" i="2"/>
  <c r="G20" i="2"/>
  <c r="G22" i="2"/>
  <c r="G23" i="2"/>
  <c r="G24" i="2"/>
  <c r="G25" i="2"/>
  <c r="G48" i="2"/>
  <c r="G26" i="2"/>
  <c r="G49" i="2"/>
  <c r="G27" i="2"/>
  <c r="D100" i="2"/>
  <c r="E100" i="2"/>
  <c r="F100" i="2"/>
  <c r="H100" i="2" l="1"/>
  <c r="D101" i="2"/>
  <c r="F101" i="2"/>
  <c r="E101" i="2"/>
  <c r="C101" i="2"/>
  <c r="G62" i="2" l="1"/>
  <c r="G66" i="2"/>
  <c r="G87" i="2"/>
  <c r="G72" i="2"/>
  <c r="G95" i="2"/>
  <c r="G96" i="2"/>
  <c r="G77" i="2"/>
  <c r="G79" i="2"/>
  <c r="G81" i="2"/>
  <c r="G82" i="2"/>
  <c r="H101" i="2"/>
  <c r="G63" i="2"/>
  <c r="G64" i="2"/>
  <c r="G65" i="2"/>
  <c r="G86" i="2"/>
  <c r="G67" i="2"/>
  <c r="G69" i="2"/>
  <c r="G90" i="2"/>
  <c r="G91" i="2"/>
  <c r="G74" i="2"/>
  <c r="G76" i="2"/>
  <c r="G99" i="2"/>
  <c r="G100" i="2"/>
  <c r="G101" i="2"/>
  <c r="G83" i="2"/>
  <c r="G84" i="2"/>
  <c r="G68" i="2"/>
  <c r="G89" i="2"/>
  <c r="G70" i="2"/>
  <c r="G92" i="2"/>
  <c r="G73" i="2"/>
  <c r="G94" i="2"/>
  <c r="G75" i="2"/>
  <c r="G97" i="2"/>
  <c r="G98" i="2"/>
  <c r="G78" i="2"/>
  <c r="G80" i="2"/>
  <c r="G85" i="2"/>
  <c r="G88" i="2"/>
  <c r="G50" i="2"/>
  <c r="G51" i="2"/>
  <c r="G47" i="2"/>
  <c r="G38" i="2"/>
</calcChain>
</file>

<file path=xl/sharedStrings.xml><?xml version="1.0" encoding="utf-8"?>
<sst xmlns="http://schemas.openxmlformats.org/spreadsheetml/2006/main" count="124" uniqueCount="108">
  <si>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</si>
  <si>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</si>
  <si>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</si>
  <si>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</si>
  <si>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</si>
  <si>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National Insurance Company Limited</t>
  </si>
  <si>
    <t>Star Health &amp; Allied Insurance Company Limited</t>
  </si>
  <si>
    <t>SBI General Insurance Company Limited</t>
  </si>
  <si>
    <t>Go Digit General Insurance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</si>
  <si>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</si>
  <si>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</si>
  <si>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</si>
  <si>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</si>
  <si>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</si>
  <si>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</si>
  <si>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</si>
  <si>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</si>
  <si>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</si>
  <si>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</si>
  <si>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Zuno General Insurance Limited</t>
  </si>
  <si>
    <t>Agricultural Insurance Company of India Limited</t>
  </si>
  <si>
    <t>Raheja QBE General Insurance Company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</si>
  <si>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</si>
  <si>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</si>
  <si>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</si>
  <si>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</si>
  <si>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</si>
  <si>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</si>
  <si>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</si>
  <si>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</si>
  <si>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</si>
  <si>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</si>
  <si>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</si>
  <si>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</si>
  <si>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</si>
  <si>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</si>
  <si>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</si>
  <si>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</si>
  <si>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</si>
  <si>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</si>
  <si>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</si>
  <si>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</si>
  <si>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</si>
  <si>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</si>
  <si>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</si>
  <si>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</si>
  <si>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</si>
  <si>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</si>
  <si>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</si>
  <si>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</si>
  <si>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</si>
  <si>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</si>
  <si>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</si>
  <si>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</si>
  <si>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</si>
  <si>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</si>
  <si>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</si>
  <si>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</si>
  <si>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</si>
  <si>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</si>
  <si>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</si>
  <si>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</si>
  <si>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</si>
  <si>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</si>
  <si>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</si>
  <si>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</si>
  <si>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</si>
  <si>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</si>
  <si>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</si>
  <si>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</si>
  <si>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</si>
  <si>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</si>
  <si>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</si>
  <si>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</si>
  <si>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</si>
  <si>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</si>
  <si>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</si>
  <si>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</si>
  <si>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</si>
  <si>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</si>
  <si>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</si>
  <si>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</si>
  <si>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</si>
  <si>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</si>
  <si>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</si>
  <si>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</si>
  <si>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</si>
  <si>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</si>
  <si>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</si>
  <si>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Indusind General Insurance Company Limited</t>
  </si>
  <si>
    <t>इंडसइंड जनरल इंश्योरेंस कंपनी लिमिटेड</t>
  </si>
  <si>
    <t>बजाज जनरल इंश्योरेंस लिमिटेड</t>
  </si>
  <si>
    <t>HDFC Ergo General Insurance Company Limited</t>
  </si>
  <si>
    <t>Kshema General Insurance Limited</t>
  </si>
  <si>
    <t>Navi General Insurance Limited</t>
  </si>
  <si>
    <t>Care Health Insurance Limited</t>
  </si>
  <si>
    <t>2026-27</t>
  </si>
  <si>
    <t>GROSS DIRECT PREMIUM UNDERWRITTEN FOR AND UPTO THE MONTH  OF JUNE, 2026</t>
  </si>
  <si>
    <t>For the Month of JUNE</t>
  </si>
  <si>
    <t>Upto the Month of JUNE</t>
  </si>
  <si>
    <t>Market Share upto the Month of JUNE, 2026 (%)</t>
  </si>
  <si>
    <t>जून , 2026 माह और तक के लिए सकल प्रत्यक्ष प्रीमियम अधिग्रहण</t>
  </si>
  <si>
    <t>जून माह के लिए</t>
  </si>
  <si>
    <t>जून माह तक</t>
  </si>
  <si>
    <t>जून , 2026 माह तक बाजार शेयर  (%)</t>
  </si>
  <si>
    <t>कीवी जनरल इंश्योरेंस लिमिटेड</t>
  </si>
  <si>
    <t>Kiwi General Insurance Limited</t>
  </si>
  <si>
    <t>केयर हेल्थ इंश्योरेंस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</si>
</sst>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10" fontId="24" fillId="0" borderId="3" xfId="0" applyNumberFormat="1" applyFont="1" applyBorder="1" applyAlignment="1">
      <alignment vertical="center"/>
    </xf>
    <xf numFmtId="0" fontId="14" fillId="0" borderId="3" xfId="0" applyFont="1" applyFill="1" applyBorder="1" applyAlignment="1">
      <alignment horizontal="center" vertical="center"/>
    </xf>
    <xf numFmtId="164" fontId="21" fillId="0" borderId="3" xfId="1" applyFont="1" applyFill="1" applyBorder="1" applyAlignment="1">
      <alignment vertical="center" wrapText="1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43" fontId="6" fillId="0" borderId="0" xfId="3" applyNumberFormat="1" applyFont="1" applyBorder="1" applyAlignment="1">
      <alignment vertical="center"/>
    </xf>
    <xf numFmtId="2" fontId="20" fillId="2" borderId="3" xfId="3" applyNumberFormat="1" applyFont="1" applyFill="1" applyBorder="1" applyAlignment="1">
      <alignment horizontal="left" vertical="center" wrapText="1"/>
    </xf>
    <xf numFmtId="43" fontId="28" fillId="2" borderId="3" xfId="0" applyNumberFormat="1" applyFont="1" applyFill="1" applyBorder="1" applyAlignment="1">
      <alignment horizontal="center"/>
    </xf>
    <xf numFmtId="0" fontId="15" fillId="0" borderId="0" xfId="3" applyFont="1" applyFill="1" applyBorder="1" applyAlignment="1">
      <alignment horizontal="right" wrapText="1"/>
    </xf>
    <xf numFmtId="165" fontId="28" fillId="2" borderId="3" xfId="0" applyNumberFormat="1" applyFont="1" applyFill="1" applyBorder="1" applyAlignment="1">
      <alignment horizontal="center"/>
    </xf>
    <xf numFmtId="165" fontId="6" fillId="0" borderId="0" xfId="3" applyNumberFormat="1" applyFont="1" applyBorder="1" applyAlignment="1">
      <alignment vertical="center"/>
    </xf>
    <xf numFmtId="165" fontId="24" fillId="0" borderId="3" xfId="0" applyNumberFormat="1" applyFont="1" applyBorder="1" applyAlignment="1">
      <alignment horizontal="right" vertical="center"/>
    </xf>
    <xf numFmtId="165" fontId="25" fillId="0" borderId="3" xfId="1" applyNumberFormat="1" applyFont="1" applyFill="1" applyBorder="1" applyAlignment="1">
      <alignment horizontal="right" vertical="center"/>
    </xf>
    <xf numFmtId="165" fontId="7" fillId="0" borderId="3" xfId="1" applyNumberFormat="1" applyFont="1" applyFill="1" applyBorder="1" applyAlignment="1">
      <alignment horizontal="right" vertical="center"/>
    </xf>
    <xf numFmtId="165" fontId="7" fillId="0" borderId="3" xfId="1" applyNumberFormat="1" applyFont="1" applyFill="1" applyBorder="1" applyAlignment="1">
      <alignment horizontal="right" vertical="center" indent="1"/>
    </xf>
    <xf numFmtId="0" fontId="3" fillId="0" borderId="0" xfId="3" applyFont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  <xf numFmtId="0" fontId="13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6"/>
  <sheetViews>
    <sheetView tabSelected="1" view="pageBreakPreview" zoomScale="98" zoomScaleNormal="98" zoomScaleSheetLayoutView="98" workbookViewId="0">
      <selection activeCell="D13" sqref="D13"/>
    </sheetView>
  </sheetViews>
  <sheetFormatPr defaultRowHeight="12.75"/>
  <cols>
    <col min="1" max="1" width="12.85546875" style="7" customWidth="1"/>
    <col min="2" max="2" width="93.7109375" style="13" customWidth="1"/>
    <col min="3" max="4" width="23.140625" style="12" bestFit="1" customWidth="1"/>
    <col min="5" max="5" width="23.42578125" style="12" customWidth="1"/>
    <col min="6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7" t="s">
        <v>22</v>
      </c>
      <c r="B2" s="77"/>
      <c r="C2" s="77"/>
      <c r="D2" s="77"/>
      <c r="E2" s="77"/>
      <c r="F2" s="77"/>
      <c r="G2" s="77"/>
      <c r="H2" s="77"/>
    </row>
    <row r="3" spans="1:8" s="2" customFormat="1" ht="36" customHeight="1">
      <c r="A3" s="67" t="s">
        <v>23</v>
      </c>
      <c r="B3" s="67"/>
      <c r="C3" s="67"/>
      <c r="D3" s="67"/>
      <c r="E3" s="67"/>
      <c r="F3" s="67"/>
      <c r="G3" s="67"/>
      <c r="H3" s="67"/>
    </row>
    <row r="4" spans="1:8" s="2" customFormat="1" ht="36" customHeight="1">
      <c r="A4" s="74" t="s">
        <v>101</v>
      </c>
      <c r="B4" s="74"/>
      <c r="C4" s="74"/>
      <c r="D4" s="74"/>
      <c r="E4" s="74"/>
      <c r="F4" s="74"/>
      <c r="G4" s="74"/>
      <c r="H4" s="74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8" t="s">
        <v>24</v>
      </c>
      <c r="D6" s="78"/>
      <c r="E6" s="78"/>
      <c r="F6" s="78"/>
      <c r="G6" s="79" t="s">
        <v>104</v>
      </c>
      <c r="H6" s="79" t="s">
        <v>25</v>
      </c>
    </row>
    <row r="7" spans="1:8" s="4" customFormat="1" ht="11.25" customHeight="1">
      <c r="B7" s="20"/>
      <c r="C7" s="82" t="s">
        <v>26</v>
      </c>
      <c r="D7" s="82"/>
      <c r="E7" s="82"/>
      <c r="F7" s="82"/>
      <c r="G7" s="80"/>
      <c r="H7" s="80"/>
    </row>
    <row r="8" spans="1:8" s="22" customFormat="1" ht="32.25" customHeight="1">
      <c r="A8" s="38"/>
      <c r="B8" s="21"/>
      <c r="C8" s="83" t="s">
        <v>102</v>
      </c>
      <c r="D8" s="83"/>
      <c r="E8" s="83" t="s">
        <v>103</v>
      </c>
      <c r="F8" s="83"/>
      <c r="G8" s="80"/>
      <c r="H8" s="80"/>
    </row>
    <row r="9" spans="1:8" s="23" customFormat="1" ht="9" customHeight="1">
      <c r="A9" s="38"/>
      <c r="B9" s="21"/>
      <c r="C9" s="82" t="s">
        <v>27</v>
      </c>
      <c r="D9" s="82"/>
      <c r="E9" s="82" t="s">
        <v>26</v>
      </c>
      <c r="F9" s="82"/>
      <c r="G9" s="80"/>
      <c r="H9" s="80"/>
    </row>
    <row r="10" spans="1:8" s="24" customFormat="1" ht="47.25" customHeight="1">
      <c r="A10" s="41" t="s">
        <v>28</v>
      </c>
      <c r="B10" s="41" t="s">
        <v>29</v>
      </c>
      <c r="C10" s="59" t="s">
        <v>96</v>
      </c>
      <c r="D10" s="59" t="s">
        <v>85</v>
      </c>
      <c r="E10" s="59" t="s">
        <v>96</v>
      </c>
      <c r="F10" s="59" t="s">
        <v>85</v>
      </c>
      <c r="G10" s="81"/>
      <c r="H10" s="81"/>
    </row>
    <row r="11" spans="1:8" s="3" customFormat="1" ht="13.5" customHeight="1">
      <c r="A11" s="25" t="s">
        <v>26</v>
      </c>
      <c r="B11" s="25" t="s">
        <v>27</v>
      </c>
      <c r="C11" s="26" t="s">
        <v>27</v>
      </c>
      <c r="D11" s="26" t="s">
        <v>26</v>
      </c>
      <c r="E11" s="26" t="s">
        <v>26</v>
      </c>
      <c r="F11" s="26" t="s">
        <v>26</v>
      </c>
      <c r="G11" s="27" t="s">
        <v>26</v>
      </c>
      <c r="H11" s="27" t="s">
        <v>26</v>
      </c>
    </row>
    <row r="12" spans="1:8" s="4" customFormat="1" ht="25.5">
      <c r="A12" s="48">
        <v>1</v>
      </c>
      <c r="B12" s="50" t="s">
        <v>30</v>
      </c>
      <c r="C12" s="60">
        <v>235.54</v>
      </c>
      <c r="D12" s="60">
        <v>156.19865039999999</v>
      </c>
      <c r="E12" s="60">
        <v>739.67</v>
      </c>
      <c r="F12" s="60">
        <v>526.97076219999997</v>
      </c>
      <c r="G12" s="51">
        <f t="shared" ref="G12:G20" si="0">E12/$E$51</f>
        <v>8.4173887765163161E-3</v>
      </c>
      <c r="H12" s="51">
        <f>((E12-F12)/F12)</f>
        <v>0.40362625985552258</v>
      </c>
    </row>
    <row r="13" spans="1:8" s="4" customFormat="1" ht="25.5">
      <c r="A13" s="48">
        <v>2</v>
      </c>
      <c r="B13" s="50" t="s">
        <v>91</v>
      </c>
      <c r="C13" s="60">
        <v>1760.0643763</v>
      </c>
      <c r="D13" s="60">
        <v>1445.2438477999999</v>
      </c>
      <c r="E13" s="60">
        <v>5768.7135047000002</v>
      </c>
      <c r="F13" s="60">
        <v>5170.5428872000002</v>
      </c>
      <c r="G13" s="51">
        <f t="shared" si="0"/>
        <v>6.5647524314085853E-2</v>
      </c>
      <c r="H13" s="51">
        <f t="shared" ref="H13:H47" si="1">((E13-F13)/F13)</f>
        <v>0.11568816477295032</v>
      </c>
    </row>
    <row r="14" spans="1:8" s="4" customFormat="1" ht="25.5">
      <c r="A14" s="48">
        <v>3</v>
      </c>
      <c r="B14" s="50" t="s">
        <v>31</v>
      </c>
      <c r="C14" s="60">
        <v>548.09445978843019</v>
      </c>
      <c r="D14" s="60">
        <v>544.8335456683069</v>
      </c>
      <c r="E14" s="60">
        <v>1859.8923632375875</v>
      </c>
      <c r="F14" s="60">
        <v>1812.1487191931949</v>
      </c>
      <c r="G14" s="51">
        <f t="shared" si="0"/>
        <v>2.1165434726086601E-2</v>
      </c>
      <c r="H14" s="51">
        <f t="shared" si="1"/>
        <v>2.6346427055749043E-2</v>
      </c>
    </row>
    <row r="15" spans="1:8" s="4" customFormat="1" ht="25.5">
      <c r="A15" s="48">
        <v>4</v>
      </c>
      <c r="B15" s="50" t="s">
        <v>87</v>
      </c>
      <c r="C15" s="60">
        <v>353.00974965945858</v>
      </c>
      <c r="D15" s="60">
        <v>282.45240768912578</v>
      </c>
      <c r="E15" s="60">
        <v>1175.0017938424642</v>
      </c>
      <c r="F15" s="60">
        <v>1230.3586916056297</v>
      </c>
      <c r="G15" s="51">
        <f t="shared" si="0"/>
        <v>1.3371431735606549E-2</v>
      </c>
      <c r="H15" s="51">
        <f t="shared" si="1"/>
        <v>-4.4992487264770127E-2</v>
      </c>
    </row>
    <row r="16" spans="1:8" s="4" customFormat="1" ht="25.5">
      <c r="A16" s="48">
        <v>5</v>
      </c>
      <c r="B16" s="50" t="s">
        <v>32</v>
      </c>
      <c r="C16" s="60">
        <v>719.54416209999977</v>
      </c>
      <c r="D16" s="60">
        <v>740.54913869999996</v>
      </c>
      <c r="E16" s="60">
        <v>2446.7641620999993</v>
      </c>
      <c r="F16" s="60">
        <v>2507.3335655000001</v>
      </c>
      <c r="G16" s="51">
        <f t="shared" si="0"/>
        <v>2.7843991505459034E-2</v>
      </c>
      <c r="H16" s="51">
        <f t="shared" si="1"/>
        <v>-2.4156898879915199E-2</v>
      </c>
    </row>
    <row r="17" spans="1:8" s="4" customFormat="1" ht="25.5">
      <c r="A17" s="48">
        <v>6</v>
      </c>
      <c r="B17" s="50" t="s">
        <v>33</v>
      </c>
      <c r="C17" s="60">
        <v>1162.4845396201076</v>
      </c>
      <c r="D17" s="60">
        <v>870.82949671750873</v>
      </c>
      <c r="E17" s="60">
        <v>4125.275800238619</v>
      </c>
      <c r="F17" s="60">
        <v>3420.6542111073604</v>
      </c>
      <c r="G17" s="51">
        <f t="shared" si="0"/>
        <v>4.6945327268867083E-2</v>
      </c>
      <c r="H17" s="51">
        <f t="shared" si="1"/>
        <v>0.20599030058146481</v>
      </c>
    </row>
    <row r="18" spans="1:8" s="4" customFormat="1" ht="25.5">
      <c r="A18" s="48">
        <v>7</v>
      </c>
      <c r="B18" s="50" t="s">
        <v>34</v>
      </c>
      <c r="C18" s="60">
        <v>2258.83</v>
      </c>
      <c r="D18" s="60">
        <v>1987.41</v>
      </c>
      <c r="E18" s="60">
        <v>8317.8700000000008</v>
      </c>
      <c r="F18" s="60">
        <v>7734.84</v>
      </c>
      <c r="G18" s="51">
        <f t="shared" si="0"/>
        <v>9.465673284373001E-2</v>
      </c>
      <c r="H18" s="51">
        <f t="shared" si="1"/>
        <v>7.5377124801547374E-2</v>
      </c>
    </row>
    <row r="19" spans="1:8" s="4" customFormat="1" ht="25.5">
      <c r="A19" s="48">
        <v>8</v>
      </c>
      <c r="B19" s="50" t="s">
        <v>35</v>
      </c>
      <c r="C19" s="60">
        <v>629.42837713622316</v>
      </c>
      <c r="D19" s="60">
        <v>583.00633804699999</v>
      </c>
      <c r="E19" s="60">
        <v>2229.8481784219857</v>
      </c>
      <c r="F19" s="60">
        <v>2023.1346083949993</v>
      </c>
      <c r="G19" s="51">
        <f t="shared" si="0"/>
        <v>2.5375503982025194E-2</v>
      </c>
      <c r="H19" s="51">
        <f t="shared" si="1"/>
        <v>0.10217489689970614</v>
      </c>
    </row>
    <row r="20" spans="1:8" s="4" customFormat="1" ht="25.5">
      <c r="A20" s="48">
        <v>9</v>
      </c>
      <c r="B20" s="50" t="s">
        <v>36</v>
      </c>
      <c r="C20" s="60">
        <v>6.7634270171576398</v>
      </c>
      <c r="D20" s="60">
        <v>-64.577868305993505</v>
      </c>
      <c r="E20" s="60">
        <v>25.193370175596478</v>
      </c>
      <c r="F20" s="60">
        <v>281.04841594400654</v>
      </c>
      <c r="G20" s="51">
        <f t="shared" si="0"/>
        <v>2.866986512345866E-4</v>
      </c>
      <c r="H20" s="51">
        <f t="shared" si="1"/>
        <v>-0.91035932335368241</v>
      </c>
    </row>
    <row r="21" spans="1:8" s="4" customFormat="1" ht="25.5">
      <c r="A21" s="48">
        <v>10</v>
      </c>
      <c r="B21" s="50" t="s">
        <v>105</v>
      </c>
      <c r="C21" s="60">
        <v>1.89</v>
      </c>
      <c r="D21" s="60">
        <v>0</v>
      </c>
      <c r="E21" s="60">
        <v>1.9088565</v>
      </c>
      <c r="F21" s="60">
        <v>0</v>
      </c>
      <c r="G21" s="51"/>
      <c r="H21" s="51"/>
    </row>
    <row r="22" spans="1:8" s="4" customFormat="1" ht="25.5">
      <c r="A22" s="48">
        <v>11</v>
      </c>
      <c r="B22" s="50" t="s">
        <v>37</v>
      </c>
      <c r="C22" s="60">
        <v>231.65934251214867</v>
      </c>
      <c r="D22" s="60">
        <v>191.75573644152817</v>
      </c>
      <c r="E22" s="60">
        <v>762.46938317882666</v>
      </c>
      <c r="F22" s="60">
        <v>620.40512054890007</v>
      </c>
      <c r="G22" s="51">
        <f t="shared" ref="G22:G37" si="2">E22/$E$51</f>
        <v>8.6768440364037667E-3</v>
      </c>
      <c r="H22" s="51">
        <f t="shared" si="1"/>
        <v>0.22898628319546427</v>
      </c>
    </row>
    <row r="23" spans="1:8" s="4" customFormat="1" ht="25.5">
      <c r="A23" s="48">
        <v>12</v>
      </c>
      <c r="B23" s="50" t="s">
        <v>84</v>
      </c>
      <c r="C23" s="60">
        <v>254.95672115125709</v>
      </c>
      <c r="D23" s="60">
        <v>268.19925048998738</v>
      </c>
      <c r="E23" s="60">
        <v>867.77660669625709</v>
      </c>
      <c r="F23" s="60">
        <v>896.16355878616923</v>
      </c>
      <c r="G23" s="51">
        <f t="shared" si="2"/>
        <v>9.8752322924121408E-3</v>
      </c>
      <c r="H23" s="51">
        <f t="shared" si="1"/>
        <v>-3.1676083915263803E-2</v>
      </c>
    </row>
    <row r="24" spans="1:8" s="4" customFormat="1" ht="25.5">
      <c r="A24" s="48">
        <v>13</v>
      </c>
      <c r="B24" s="50" t="s">
        <v>38</v>
      </c>
      <c r="C24" s="61">
        <v>1521.17</v>
      </c>
      <c r="D24" s="61">
        <v>1376.96</v>
      </c>
      <c r="E24" s="60">
        <v>4097.5200000000004</v>
      </c>
      <c r="F24" s="60">
        <v>3969.25</v>
      </c>
      <c r="G24" s="51">
        <f t="shared" si="2"/>
        <v>4.6629468356903944E-2</v>
      </c>
      <c r="H24" s="51">
        <f t="shared" si="1"/>
        <v>3.2315928701895931E-2</v>
      </c>
    </row>
    <row r="25" spans="1:8" s="4" customFormat="1" ht="25.5">
      <c r="A25" s="48">
        <v>14</v>
      </c>
      <c r="B25" s="50" t="s">
        <v>39</v>
      </c>
      <c r="C25" s="60">
        <v>20.920858275995002</v>
      </c>
      <c r="D25" s="60">
        <v>5.7987852835738902</v>
      </c>
      <c r="E25" s="60">
        <v>56.390380838037053</v>
      </c>
      <c r="F25" s="60">
        <v>33.830167645166732</v>
      </c>
      <c r="G25" s="51">
        <f t="shared" si="2"/>
        <v>6.4171827810993254E-4</v>
      </c>
      <c r="H25" s="51">
        <f t="shared" si="1"/>
        <v>0.66686672763483834</v>
      </c>
    </row>
    <row r="26" spans="1:8" s="4" customFormat="1" ht="25.5">
      <c r="A26" s="48">
        <v>15</v>
      </c>
      <c r="B26" s="50" t="s">
        <v>40</v>
      </c>
      <c r="C26" s="60">
        <v>20.403975352500144</v>
      </c>
      <c r="D26" s="60">
        <v>13.776750254499989</v>
      </c>
      <c r="E26" s="60">
        <v>57.462977157619534</v>
      </c>
      <c r="F26" s="60">
        <v>43.943364054119016</v>
      </c>
      <c r="G26" s="51">
        <f t="shared" si="2"/>
        <v>6.5392434327708315E-4</v>
      </c>
      <c r="H26" s="51">
        <f t="shared" si="1"/>
        <v>0.30765994808340719</v>
      </c>
    </row>
    <row r="27" spans="1:8" s="4" customFormat="1" ht="25.5">
      <c r="A27" s="48">
        <v>16</v>
      </c>
      <c r="B27" s="50" t="s">
        <v>90</v>
      </c>
      <c r="C27" s="60">
        <v>707.14802797759114</v>
      </c>
      <c r="D27" s="60">
        <v>1025.4907937561393</v>
      </c>
      <c r="E27" s="60">
        <v>2955.0934012206885</v>
      </c>
      <c r="F27" s="60">
        <v>3367.090723220475</v>
      </c>
      <c r="G27" s="51">
        <f t="shared" si="2"/>
        <v>3.3628739882640167E-2</v>
      </c>
      <c r="H27" s="51">
        <f t="shared" si="1"/>
        <v>-0.12236003002786008</v>
      </c>
    </row>
    <row r="28" spans="1:8" s="4" customFormat="1" ht="25.5">
      <c r="A28" s="48">
        <v>17</v>
      </c>
      <c r="B28" s="50" t="s">
        <v>41</v>
      </c>
      <c r="C28" s="60">
        <v>389.14619197552145</v>
      </c>
      <c r="D28" s="60">
        <v>327.38</v>
      </c>
      <c r="E28" s="60">
        <v>1285.0463839005547</v>
      </c>
      <c r="F28" s="60">
        <v>1160.2396825565588</v>
      </c>
      <c r="G28" s="51">
        <f t="shared" si="2"/>
        <v>1.4623730865314811E-2</v>
      </c>
      <c r="H28" s="51">
        <f t="shared" si="1"/>
        <v>0.1075697575426721</v>
      </c>
    </row>
    <row r="29" spans="1:8" s="4" customFormat="1" ht="25.5">
      <c r="A29" s="48">
        <v>18</v>
      </c>
      <c r="B29" s="50" t="s">
        <v>42</v>
      </c>
      <c r="C29" s="60">
        <v>1152.0762193138953</v>
      </c>
      <c r="D29" s="60">
        <v>984.36314667591796</v>
      </c>
      <c r="E29" s="60">
        <v>3506.2708990480551</v>
      </c>
      <c r="F29" s="60">
        <v>3163.0727021669727</v>
      </c>
      <c r="G29" s="51">
        <f t="shared" si="2"/>
        <v>3.9901098210111091E-2</v>
      </c>
      <c r="H29" s="51">
        <f t="shared" si="1"/>
        <v>0.10850152026096729</v>
      </c>
    </row>
    <row r="30" spans="1:8" s="4" customFormat="1" ht="25.5">
      <c r="A30" s="48">
        <v>19</v>
      </c>
      <c r="B30" s="50" t="s">
        <v>43</v>
      </c>
      <c r="C30" s="60">
        <v>420.30254028600001</v>
      </c>
      <c r="D30" s="60">
        <v>346.751541266</v>
      </c>
      <c r="E30" s="60">
        <v>1179.8159694090002</v>
      </c>
      <c r="F30" s="60">
        <v>960.38088113699996</v>
      </c>
      <c r="G30" s="51">
        <f t="shared" si="2"/>
        <v>1.3426216690224067E-2</v>
      </c>
      <c r="H30" s="51">
        <f t="shared" si="1"/>
        <v>0.22848756423827379</v>
      </c>
    </row>
    <row r="31" spans="1:8" s="4" customFormat="1" ht="25.5">
      <c r="A31" s="48">
        <v>20</v>
      </c>
      <c r="B31" s="50" t="s">
        <v>44</v>
      </c>
      <c r="C31" s="60">
        <v>1787.2016343619998</v>
      </c>
      <c r="D31" s="60">
        <v>1396.0987278330017</v>
      </c>
      <c r="E31" s="60">
        <v>6558.6445181359995</v>
      </c>
      <c r="F31" s="60">
        <v>4886.4578040309989</v>
      </c>
      <c r="G31" s="51">
        <f t="shared" si="2"/>
        <v>7.4636879630265149E-2</v>
      </c>
      <c r="H31" s="51">
        <f t="shared" si="1"/>
        <v>0.34220836056858184</v>
      </c>
    </row>
    <row r="32" spans="1:8" s="4" customFormat="1" ht="25.5">
      <c r="A32" s="48">
        <v>21</v>
      </c>
      <c r="B32" s="50" t="s">
        <v>45</v>
      </c>
      <c r="C32" s="60">
        <v>3670.1325477</v>
      </c>
      <c r="D32" s="60">
        <v>3328.2291891</v>
      </c>
      <c r="E32" s="60">
        <v>12700.7326187</v>
      </c>
      <c r="F32" s="60">
        <v>12299.4947921</v>
      </c>
      <c r="G32" s="51">
        <f t="shared" si="2"/>
        <v>0.14453337866640537</v>
      </c>
      <c r="H32" s="51">
        <f t="shared" si="1"/>
        <v>3.2622301434504106E-2</v>
      </c>
    </row>
    <row r="33" spans="1:8" s="4" customFormat="1" ht="25.5">
      <c r="A33" s="48">
        <v>22</v>
      </c>
      <c r="B33" s="50" t="s">
        <v>46</v>
      </c>
      <c r="C33" s="60">
        <v>2271.592840715</v>
      </c>
      <c r="D33" s="60">
        <v>1711.0923</v>
      </c>
      <c r="E33" s="60">
        <v>6222.1530185749998</v>
      </c>
      <c r="F33" s="60">
        <v>5805.1283000000003</v>
      </c>
      <c r="G33" s="51">
        <f t="shared" si="2"/>
        <v>7.0807631760542292E-2</v>
      </c>
      <c r="H33" s="51">
        <f t="shared" si="1"/>
        <v>7.1837295753652761E-2</v>
      </c>
    </row>
    <row r="34" spans="1:8" s="4" customFormat="1" ht="25.5">
      <c r="A34" s="48">
        <v>23</v>
      </c>
      <c r="B34" s="50" t="s">
        <v>47</v>
      </c>
      <c r="C34" s="60">
        <v>1791.69</v>
      </c>
      <c r="D34" s="60">
        <v>1745.35</v>
      </c>
      <c r="E34" s="60">
        <v>5725.7899999999991</v>
      </c>
      <c r="F34" s="60">
        <v>5665.6900000000005</v>
      </c>
      <c r="G34" s="51">
        <f t="shared" si="2"/>
        <v>6.5159058070070913E-2</v>
      </c>
      <c r="H34" s="51">
        <f t="shared" si="1"/>
        <v>1.0607710623065952E-2</v>
      </c>
    </row>
    <row r="35" spans="1:8" s="4" customFormat="1" ht="25.5">
      <c r="A35" s="48">
        <v>24</v>
      </c>
      <c r="B35" s="50" t="s">
        <v>48</v>
      </c>
      <c r="C35" s="60">
        <v>504.93886858202524</v>
      </c>
      <c r="D35" s="60">
        <v>402.317115</v>
      </c>
      <c r="E35" s="60">
        <v>1750.617143990057</v>
      </c>
      <c r="F35" s="60">
        <v>1311.4530892747969</v>
      </c>
      <c r="G35" s="51">
        <f t="shared" si="2"/>
        <v>1.9921890978137485E-2</v>
      </c>
      <c r="H35" s="51">
        <f t="shared" si="1"/>
        <v>0.33486829098714288</v>
      </c>
    </row>
    <row r="36" spans="1:8" s="4" customFormat="1" ht="25.5">
      <c r="A36" s="48">
        <v>25</v>
      </c>
      <c r="B36" s="50" t="s">
        <v>49</v>
      </c>
      <c r="C36" s="60">
        <v>132.05000000000001</v>
      </c>
      <c r="D36" s="60">
        <v>82.080000000000013</v>
      </c>
      <c r="E36" s="60">
        <v>401.72</v>
      </c>
      <c r="F36" s="60">
        <v>248.49</v>
      </c>
      <c r="G36" s="51">
        <f t="shared" si="2"/>
        <v>4.5715432818718279E-3</v>
      </c>
      <c r="H36" s="51">
        <f t="shared" si="1"/>
        <v>0.61664453297919442</v>
      </c>
    </row>
    <row r="37" spans="1:8" s="4" customFormat="1" ht="25.5">
      <c r="A37" s="48">
        <v>26</v>
      </c>
      <c r="B37" s="50" t="s">
        <v>77</v>
      </c>
      <c r="C37" s="60">
        <v>214.990128215</v>
      </c>
      <c r="D37" s="60">
        <v>143.4931383310076</v>
      </c>
      <c r="E37" s="60">
        <v>624.91694702799998</v>
      </c>
      <c r="F37" s="60">
        <v>574.11759824390435</v>
      </c>
      <c r="G37" s="51">
        <f t="shared" si="2"/>
        <v>7.1115076941992081E-3</v>
      </c>
      <c r="H37" s="51">
        <f t="shared" si="1"/>
        <v>8.8482479790689794E-2</v>
      </c>
    </row>
    <row r="38" spans="1:8" s="4" customFormat="1" ht="25.5">
      <c r="A38" s="48"/>
      <c r="B38" s="52" t="s">
        <v>50</v>
      </c>
      <c r="C38" s="62">
        <f>SUM(C12:C37)</f>
        <v>22766.028988040311</v>
      </c>
      <c r="D38" s="62">
        <f>SUM(D12:D37)</f>
        <v>19895.082031147602</v>
      </c>
      <c r="E38" s="62">
        <f>SUM(E12:E37)</f>
        <v>75442.558277094329</v>
      </c>
      <c r="F38" s="62">
        <f>SUM(F12:F37)</f>
        <v>69712.239644910267</v>
      </c>
      <c r="G38" s="53">
        <f t="shared" ref="G38" si="3">E38/$E$101</f>
        <v>0.85853061948340736</v>
      </c>
      <c r="H38" s="54">
        <f t="shared" si="1"/>
        <v>8.2199605999926248E-2</v>
      </c>
    </row>
    <row r="39" spans="1:8" s="4" customFormat="1" ht="25.5">
      <c r="A39" s="48">
        <v>27</v>
      </c>
      <c r="B39" s="50" t="s">
        <v>51</v>
      </c>
      <c r="C39" s="60">
        <v>753.7808473</v>
      </c>
      <c r="D39" s="60">
        <v>542.0278227</v>
      </c>
      <c r="E39" s="60">
        <v>2005.3612601999998</v>
      </c>
      <c r="F39" s="60">
        <v>1326.6503570261102</v>
      </c>
      <c r="G39" s="51">
        <f t="shared" ref="G39:G46" si="4">E39/$E$51</f>
        <v>2.2820859794865405E-2</v>
      </c>
      <c r="H39" s="51">
        <f t="shared" si="1"/>
        <v>0.51159742247032136</v>
      </c>
    </row>
    <row r="40" spans="1:8" s="4" customFormat="1" ht="25.5">
      <c r="A40" s="48">
        <v>28</v>
      </c>
      <c r="B40" s="50" t="s">
        <v>107</v>
      </c>
      <c r="C40" s="60">
        <v>970.37044736791302</v>
      </c>
      <c r="D40" s="60">
        <v>683.698361879034</v>
      </c>
      <c r="E40" s="60">
        <v>2927.1527616416497</v>
      </c>
      <c r="F40" s="60">
        <v>2049.4441600787222</v>
      </c>
      <c r="G40" s="51">
        <f t="shared" si="4"/>
        <v>3.3310777512933015E-2</v>
      </c>
      <c r="H40" s="51">
        <f t="shared" si="1"/>
        <v>0.42826665817975412</v>
      </c>
    </row>
    <row r="41" spans="1:8" s="4" customFormat="1" ht="25.5">
      <c r="A41" s="48">
        <v>29</v>
      </c>
      <c r="B41" s="50" t="s">
        <v>52</v>
      </c>
      <c r="C41" s="60">
        <v>220.94629088304839</v>
      </c>
      <c r="D41" s="60">
        <v>177.59212028471384</v>
      </c>
      <c r="E41" s="60">
        <v>704.30350492172329</v>
      </c>
      <c r="F41" s="60">
        <v>532.00230458094052</v>
      </c>
      <c r="G41" s="51">
        <f t="shared" si="4"/>
        <v>8.0149207316630635E-3</v>
      </c>
      <c r="H41" s="51">
        <f t="shared" si="1"/>
        <v>0.32387303373902643</v>
      </c>
    </row>
    <row r="42" spans="1:8" s="4" customFormat="1" ht="25.5">
      <c r="A42" s="48">
        <v>30</v>
      </c>
      <c r="B42" s="50" t="s">
        <v>53</v>
      </c>
      <c r="C42" s="60">
        <v>798.17166873867768</v>
      </c>
      <c r="D42" s="60">
        <v>594.290979378369</v>
      </c>
      <c r="E42" s="60">
        <v>2149.9575250550001</v>
      </c>
      <c r="F42" s="60">
        <v>1631.9013934566044</v>
      </c>
      <c r="G42" s="51">
        <f t="shared" si="4"/>
        <v>2.44663543761201E-2</v>
      </c>
      <c r="H42" s="51">
        <f t="shared" si="1"/>
        <v>0.31745553602419413</v>
      </c>
    </row>
    <row r="43" spans="1:8" s="4" customFormat="1" ht="25.5">
      <c r="A43" s="48"/>
      <c r="B43" s="50" t="s">
        <v>54</v>
      </c>
      <c r="C43" s="60">
        <v>0</v>
      </c>
      <c r="D43" s="60">
        <v>0</v>
      </c>
      <c r="E43" s="60">
        <v>0</v>
      </c>
      <c r="F43" s="60">
        <v>0</v>
      </c>
      <c r="G43" s="58">
        <v>0</v>
      </c>
      <c r="H43" s="44">
        <v>0</v>
      </c>
    </row>
    <row r="44" spans="1:8" s="4" customFormat="1" ht="25.5">
      <c r="A44" s="48">
        <v>31</v>
      </c>
      <c r="B44" s="50" t="s">
        <v>55</v>
      </c>
      <c r="C44" s="60">
        <v>1594.3500000000004</v>
      </c>
      <c r="D44" s="60">
        <v>1337.8364672</v>
      </c>
      <c r="E44" s="60">
        <v>4287.09</v>
      </c>
      <c r="F44" s="60">
        <v>3597.0664672000003</v>
      </c>
      <c r="G44" s="51">
        <f t="shared" si="4"/>
        <v>4.8786760649905142E-2</v>
      </c>
      <c r="H44" s="51">
        <f t="shared" si="1"/>
        <v>0.19182951971891765</v>
      </c>
    </row>
    <row r="45" spans="1:8" s="4" customFormat="1" ht="25.5">
      <c r="A45" s="48">
        <v>32</v>
      </c>
      <c r="B45" s="50" t="s">
        <v>80</v>
      </c>
      <c r="C45" s="60">
        <v>6.9349879000000003</v>
      </c>
      <c r="D45" s="60">
        <v>0.62875927033898305</v>
      </c>
      <c r="E45" s="60">
        <v>26.170375534337598</v>
      </c>
      <c r="F45" s="60">
        <v>1.718059270338983</v>
      </c>
      <c r="G45" s="51">
        <f t="shared" si="4"/>
        <v>2.9781689848168842E-4</v>
      </c>
      <c r="H45" s="51">
        <f t="shared" si="1"/>
        <v>14.232521942723217</v>
      </c>
    </row>
    <row r="46" spans="1:8" s="4" customFormat="1" ht="25.5">
      <c r="A46" s="48">
        <v>33</v>
      </c>
      <c r="B46" s="50" t="s">
        <v>82</v>
      </c>
      <c r="C46" s="60">
        <v>28.787930387006931</v>
      </c>
      <c r="D46" s="60">
        <v>4.5683554385762726</v>
      </c>
      <c r="E46" s="60">
        <v>61.227039093091683</v>
      </c>
      <c r="F46" s="60">
        <v>12.283355642892651</v>
      </c>
      <c r="G46" s="51">
        <f t="shared" si="4"/>
        <v>6.9675908402600569E-4</v>
      </c>
      <c r="H46" s="44">
        <v>0</v>
      </c>
    </row>
    <row r="47" spans="1:8" s="4" customFormat="1" ht="25.5">
      <c r="A47" s="48"/>
      <c r="B47" s="52" t="s">
        <v>56</v>
      </c>
      <c r="C47" s="63">
        <f>SUM(C39:C46)</f>
        <v>4373.3421725766466</v>
      </c>
      <c r="D47" s="63">
        <f>SUM(D39:D46)</f>
        <v>3340.6428661510322</v>
      </c>
      <c r="E47" s="63">
        <f>SUM(E39:E46)</f>
        <v>12161.262466445802</v>
      </c>
      <c r="F47" s="63">
        <f>SUM(F39:F46)</f>
        <v>9151.0660972556088</v>
      </c>
      <c r="G47" s="53">
        <f t="shared" ref="G47" si="5">E47/$E$101</f>
        <v>0.13839424904799441</v>
      </c>
      <c r="H47" s="54">
        <f t="shared" si="1"/>
        <v>0.32894488327353971</v>
      </c>
    </row>
    <row r="48" spans="1:8" s="4" customFormat="1" ht="25.5">
      <c r="A48" s="48">
        <v>34</v>
      </c>
      <c r="B48" s="50" t="s">
        <v>57</v>
      </c>
      <c r="C48" s="60">
        <v>15.325280898999999</v>
      </c>
      <c r="D48" s="60">
        <v>40.057953504505406</v>
      </c>
      <c r="E48" s="60">
        <v>-74.235758994999998</v>
      </c>
      <c r="F48" s="60">
        <v>67.935969178465257</v>
      </c>
      <c r="G48" s="51">
        <f>E48/$E$51</f>
        <v>-8.4479733473127633E-4</v>
      </c>
      <c r="H48" s="51">
        <f t="shared" ref="H48:H51" si="6">((E48-F48)/F48)</f>
        <v>-2.0927312864262735</v>
      </c>
    </row>
    <row r="49" spans="1:8" s="4" customFormat="1" ht="25.5">
      <c r="A49" s="48">
        <v>35</v>
      </c>
      <c r="B49" s="50" t="s">
        <v>58</v>
      </c>
      <c r="C49" s="60">
        <v>125.3</v>
      </c>
      <c r="D49" s="60">
        <v>125.4</v>
      </c>
      <c r="E49" s="60">
        <v>344.46</v>
      </c>
      <c r="F49" s="60">
        <v>321.65999999999997</v>
      </c>
      <c r="G49" s="51">
        <f>E49/$E$51</f>
        <v>3.9199288033296064E-3</v>
      </c>
      <c r="H49" s="51">
        <f t="shared" si="6"/>
        <v>7.0882298078716696E-2</v>
      </c>
    </row>
    <row r="50" spans="1:8" s="4" customFormat="1" ht="26.25">
      <c r="A50" s="55"/>
      <c r="B50" s="52" t="s">
        <v>59</v>
      </c>
      <c r="C50" s="64">
        <f>SUM(C48:C49)</f>
        <v>140.62528089899999</v>
      </c>
      <c r="D50" s="64">
        <f t="shared" ref="D50:F50" si="7">SUM(D48:D49)</f>
        <v>165.45795350450541</v>
      </c>
      <c r="E50" s="64">
        <f t="shared" si="7"/>
        <v>270.22424100499995</v>
      </c>
      <c r="F50" s="64">
        <f t="shared" si="7"/>
        <v>389.59596917846523</v>
      </c>
      <c r="G50" s="53">
        <f>E50/$E$101</f>
        <v>3.0751314685983299E-3</v>
      </c>
      <c r="H50" s="53">
        <f t="shared" si="6"/>
        <v>-0.30639877621214234</v>
      </c>
    </row>
    <row r="51" spans="1:8" s="4" customFormat="1" ht="26.25">
      <c r="A51" s="55"/>
      <c r="B51" s="52" t="s">
        <v>60</v>
      </c>
      <c r="C51" s="65">
        <f>(C38+C47+C50)</f>
        <v>27279.996441515956</v>
      </c>
      <c r="D51" s="65">
        <f>(D38+D47+D50)</f>
        <v>23401.182850803139</v>
      </c>
      <c r="E51" s="65">
        <f>(E38+E47+E50)</f>
        <v>87874.044984545122</v>
      </c>
      <c r="F51" s="65">
        <f>(F38+F47+F50)</f>
        <v>79252.901711344341</v>
      </c>
      <c r="G51" s="53">
        <f>E51/$E$101</f>
        <v>1</v>
      </c>
      <c r="H51" s="53">
        <f t="shared" si="6"/>
        <v>0.10878015930067507</v>
      </c>
    </row>
    <row r="52" spans="1:8" s="6" customFormat="1" ht="20.100000000000001" customHeight="1">
      <c r="A52" s="75" t="s">
        <v>61</v>
      </c>
      <c r="B52" s="75"/>
      <c r="C52" s="75"/>
      <c r="D52" s="75"/>
      <c r="E52" s="28"/>
      <c r="F52" s="28"/>
      <c r="G52" s="29"/>
      <c r="H52" s="30"/>
    </row>
    <row r="53" spans="1:8" s="6" customFormat="1" ht="20.100000000000001" customHeight="1">
      <c r="A53" s="76" t="s">
        <v>62</v>
      </c>
      <c r="B53" s="76"/>
      <c r="C53" s="76"/>
      <c r="D53" s="76"/>
      <c r="E53" s="76"/>
      <c r="F53" s="76"/>
      <c r="G53" s="76"/>
      <c r="H53" s="76"/>
    </row>
    <row r="54" spans="1:8" ht="18">
      <c r="A54" s="31"/>
      <c r="B54" s="32"/>
      <c r="C54" s="33"/>
      <c r="D54" s="33"/>
      <c r="E54" s="33"/>
      <c r="F54" s="33"/>
      <c r="G54" s="34"/>
      <c r="H54" s="34"/>
    </row>
    <row r="55" spans="1:8" s="2" customFormat="1" ht="38.1" customHeight="1">
      <c r="A55" s="77" t="s">
        <v>63</v>
      </c>
      <c r="B55" s="77"/>
      <c r="C55" s="77"/>
      <c r="D55" s="77"/>
      <c r="E55" s="77"/>
      <c r="F55" s="77"/>
      <c r="G55" s="77"/>
      <c r="H55" s="77"/>
    </row>
    <row r="56" spans="1:8" s="2" customFormat="1" ht="38.1" customHeight="1">
      <c r="A56" s="67" t="s">
        <v>78</v>
      </c>
      <c r="B56" s="67"/>
      <c r="C56" s="67"/>
      <c r="D56" s="67"/>
      <c r="E56" s="67"/>
      <c r="F56" s="67"/>
      <c r="G56" s="67"/>
      <c r="H56" s="67"/>
    </row>
    <row r="57" spans="1:8" s="2" customFormat="1" ht="38.1" customHeight="1">
      <c r="A57" s="74" t="s">
        <v>97</v>
      </c>
      <c r="B57" s="74"/>
      <c r="C57" s="74"/>
      <c r="D57" s="74"/>
      <c r="E57" s="74"/>
      <c r="F57" s="74"/>
      <c r="G57" s="74"/>
      <c r="H57" s="74"/>
    </row>
    <row r="58" spans="1:8" s="2" customFormat="1" ht="4.5" customHeight="1">
      <c r="A58" s="18"/>
      <c r="B58" s="18"/>
      <c r="C58" s="19"/>
      <c r="D58" s="19"/>
      <c r="E58" s="19"/>
      <c r="F58" s="19"/>
      <c r="G58" s="18"/>
      <c r="H58" s="18"/>
    </row>
    <row r="59" spans="1:8" s="4" customFormat="1" ht="48.75" customHeight="1">
      <c r="B59" s="20"/>
      <c r="C59" s="69" t="s">
        <v>64</v>
      </c>
      <c r="D59" s="69"/>
      <c r="E59" s="69"/>
      <c r="F59" s="69"/>
      <c r="G59" s="70" t="s">
        <v>100</v>
      </c>
      <c r="H59" s="70" t="s">
        <v>65</v>
      </c>
    </row>
    <row r="60" spans="1:8" s="4" customFormat="1" ht="33" customHeight="1">
      <c r="A60" s="71" t="s">
        <v>66</v>
      </c>
      <c r="B60" s="72" t="s">
        <v>67</v>
      </c>
      <c r="C60" s="73" t="s">
        <v>98</v>
      </c>
      <c r="D60" s="73"/>
      <c r="E60" s="73" t="s">
        <v>99</v>
      </c>
      <c r="F60" s="73"/>
      <c r="G60" s="70"/>
      <c r="H60" s="70"/>
    </row>
    <row r="61" spans="1:8" s="36" customFormat="1" ht="70.5" customHeight="1">
      <c r="A61" s="71" t="s">
        <v>66</v>
      </c>
      <c r="B61" s="72"/>
      <c r="C61" s="35" t="s">
        <v>96</v>
      </c>
      <c r="D61" s="59" t="s">
        <v>85</v>
      </c>
      <c r="E61" s="59" t="s">
        <v>96</v>
      </c>
      <c r="F61" s="59" t="s">
        <v>85</v>
      </c>
      <c r="G61" s="70"/>
      <c r="H61" s="70"/>
    </row>
    <row r="62" spans="1:8" s="4" customFormat="1" ht="24.75" customHeight="1">
      <c r="A62" s="42">
        <v>1</v>
      </c>
      <c r="B62" s="43" t="s">
        <v>16</v>
      </c>
      <c r="C62" s="60">
        <v>235.54</v>
      </c>
      <c r="D62" s="60">
        <v>156.19865039999999</v>
      </c>
      <c r="E62" s="60">
        <v>739.67</v>
      </c>
      <c r="F62" s="60">
        <v>526.97076219999997</v>
      </c>
      <c r="G62" s="45">
        <f t="shared" ref="G62:G70" si="8">E62/$E$101</f>
        <v>8.4173887765163161E-3</v>
      </c>
      <c r="H62" s="45">
        <f t="shared" ref="H62:H101" si="9">((E62-F62)/F62)</f>
        <v>0.40362625985552258</v>
      </c>
    </row>
    <row r="63" spans="1:8" s="4" customFormat="1" ht="24.75" customHeight="1">
      <c r="A63" s="42">
        <v>2</v>
      </c>
      <c r="B63" s="43" t="s">
        <v>88</v>
      </c>
      <c r="C63" s="60">
        <v>1760.0643763</v>
      </c>
      <c r="D63" s="60">
        <v>1445.2438477999999</v>
      </c>
      <c r="E63" s="60">
        <v>5768.7135047000002</v>
      </c>
      <c r="F63" s="60">
        <v>5170.5428872000002</v>
      </c>
      <c r="G63" s="45">
        <f t="shared" si="8"/>
        <v>6.5647524314085853E-2</v>
      </c>
      <c r="H63" s="45">
        <f t="shared" si="9"/>
        <v>0.11568816477295032</v>
      </c>
    </row>
    <row r="64" spans="1:8" s="4" customFormat="1" ht="24.75" customHeight="1">
      <c r="A64" s="42">
        <v>3</v>
      </c>
      <c r="B64" s="43" t="s">
        <v>9</v>
      </c>
      <c r="C64" s="60">
        <v>548.09445978843019</v>
      </c>
      <c r="D64" s="60">
        <v>544.8335456683069</v>
      </c>
      <c r="E64" s="60">
        <v>1859.8923632375875</v>
      </c>
      <c r="F64" s="60">
        <v>1812.1487191931949</v>
      </c>
      <c r="G64" s="45">
        <f t="shared" si="8"/>
        <v>2.1165434726086601E-2</v>
      </c>
      <c r="H64" s="45">
        <f t="shared" si="9"/>
        <v>2.6346427055749043E-2</v>
      </c>
    </row>
    <row r="65" spans="1:10" s="4" customFormat="1" ht="24.75" customHeight="1">
      <c r="A65" s="42">
        <v>4</v>
      </c>
      <c r="B65" s="43" t="s">
        <v>86</v>
      </c>
      <c r="C65" s="60">
        <v>353.00974965945858</v>
      </c>
      <c r="D65" s="60">
        <v>282.45240768912578</v>
      </c>
      <c r="E65" s="60">
        <v>1175.0017938424642</v>
      </c>
      <c r="F65" s="60">
        <v>1230.3586916056297</v>
      </c>
      <c r="G65" s="45">
        <f t="shared" si="8"/>
        <v>1.3371431735606549E-2</v>
      </c>
      <c r="H65" s="45">
        <f t="shared" si="9"/>
        <v>-4.4992487264770127E-2</v>
      </c>
    </row>
    <row r="66" spans="1:10" s="4" customFormat="1" ht="24.75" customHeight="1">
      <c r="A66" s="42">
        <v>5</v>
      </c>
      <c r="B66" s="43" t="s">
        <v>8</v>
      </c>
      <c r="C66" s="60">
        <v>719.54416209999977</v>
      </c>
      <c r="D66" s="60">
        <v>740.54913869999996</v>
      </c>
      <c r="E66" s="60">
        <v>2446.7641620999993</v>
      </c>
      <c r="F66" s="60">
        <v>2507.3335655000001</v>
      </c>
      <c r="G66" s="45">
        <f t="shared" si="8"/>
        <v>2.7843991505459034E-2</v>
      </c>
      <c r="H66" s="45">
        <f t="shared" si="9"/>
        <v>-2.4156898879915199E-2</v>
      </c>
    </row>
    <row r="67" spans="1:10" s="4" customFormat="1" ht="24.75" customHeight="1">
      <c r="A67" s="42">
        <v>6</v>
      </c>
      <c r="B67" s="43" t="s">
        <v>92</v>
      </c>
      <c r="C67" s="60">
        <v>1162.4845396201076</v>
      </c>
      <c r="D67" s="60">
        <v>870.82949671750873</v>
      </c>
      <c r="E67" s="60">
        <v>4125.275800238619</v>
      </c>
      <c r="F67" s="60">
        <v>3420.6542111073604</v>
      </c>
      <c r="G67" s="45">
        <f t="shared" si="8"/>
        <v>4.6945327268867083E-2</v>
      </c>
      <c r="H67" s="45">
        <f t="shared" si="9"/>
        <v>0.20599030058146481</v>
      </c>
    </row>
    <row r="68" spans="1:10" s="4" customFormat="1" ht="24.75" customHeight="1">
      <c r="A68" s="42">
        <v>7</v>
      </c>
      <c r="B68" s="43" t="s">
        <v>1</v>
      </c>
      <c r="C68" s="60">
        <v>2258.83</v>
      </c>
      <c r="D68" s="60">
        <v>1987.41</v>
      </c>
      <c r="E68" s="60">
        <v>8317.8700000000008</v>
      </c>
      <c r="F68" s="60">
        <v>7734.84</v>
      </c>
      <c r="G68" s="45">
        <f t="shared" si="8"/>
        <v>9.465673284373001E-2</v>
      </c>
      <c r="H68" s="45">
        <f t="shared" si="9"/>
        <v>7.5377124801547374E-2</v>
      </c>
    </row>
    <row r="69" spans="1:10" s="4" customFormat="1" ht="24.75" customHeight="1">
      <c r="A69" s="42">
        <v>8</v>
      </c>
      <c r="B69" s="43" t="s">
        <v>10</v>
      </c>
      <c r="C69" s="60">
        <v>629.42837713622316</v>
      </c>
      <c r="D69" s="60">
        <v>583.00633804699999</v>
      </c>
      <c r="E69" s="60">
        <v>2229.8481784219857</v>
      </c>
      <c r="F69" s="60">
        <v>2023.1346083949993</v>
      </c>
      <c r="G69" s="45">
        <f t="shared" si="8"/>
        <v>2.5375503982025194E-2</v>
      </c>
      <c r="H69" s="45">
        <f t="shared" si="9"/>
        <v>0.10217489689970614</v>
      </c>
    </row>
    <row r="70" spans="1:10" s="4" customFormat="1" ht="24.75" customHeight="1">
      <c r="A70" s="42">
        <v>9</v>
      </c>
      <c r="B70" s="43" t="s">
        <v>93</v>
      </c>
      <c r="C70" s="60">
        <v>6.7634270171576398</v>
      </c>
      <c r="D70" s="60">
        <v>-64.577868305993505</v>
      </c>
      <c r="E70" s="60">
        <v>25.193370175596478</v>
      </c>
      <c r="F70" s="60">
        <v>281.04841594400654</v>
      </c>
      <c r="G70" s="45">
        <f t="shared" si="8"/>
        <v>2.866986512345866E-4</v>
      </c>
      <c r="H70" s="45">
        <f t="shared" si="9"/>
        <v>-0.91035932335368241</v>
      </c>
    </row>
    <row r="71" spans="1:10" s="4" customFormat="1" ht="24.75" customHeight="1">
      <c r="A71" s="42">
        <v>10</v>
      </c>
      <c r="B71" s="43" t="s">
        <v>106</v>
      </c>
      <c r="C71" s="60">
        <v>1.89</v>
      </c>
      <c r="D71" s="60">
        <v>0</v>
      </c>
      <c r="E71" s="60">
        <v>1.9088565</v>
      </c>
      <c r="F71" s="60">
        <v>0</v>
      </c>
      <c r="G71" s="45"/>
      <c r="H71" s="45"/>
    </row>
    <row r="72" spans="1:10" s="4" customFormat="1" ht="24.75" customHeight="1">
      <c r="A72" s="42">
        <v>11</v>
      </c>
      <c r="B72" s="43" t="s">
        <v>15</v>
      </c>
      <c r="C72" s="60">
        <v>231.65934251214867</v>
      </c>
      <c r="D72" s="60">
        <v>191.75573644152817</v>
      </c>
      <c r="E72" s="60">
        <v>762.46938317882666</v>
      </c>
      <c r="F72" s="60">
        <v>620.40512054890007</v>
      </c>
      <c r="G72" s="45">
        <f t="shared" ref="G72:G92" si="10">E72/$E$101</f>
        <v>8.6768440364037667E-3</v>
      </c>
      <c r="H72" s="45">
        <f t="shared" si="9"/>
        <v>0.22898628319546427</v>
      </c>
    </row>
    <row r="73" spans="1:10" s="4" customFormat="1" ht="24.75" customHeight="1">
      <c r="A73" s="42">
        <v>12</v>
      </c>
      <c r="B73" s="43" t="s">
        <v>83</v>
      </c>
      <c r="C73" s="60">
        <v>254.95672115125709</v>
      </c>
      <c r="D73" s="60">
        <v>268.19925048998738</v>
      </c>
      <c r="E73" s="60">
        <v>867.77660669625709</v>
      </c>
      <c r="F73" s="60">
        <v>896.16355878616923</v>
      </c>
      <c r="G73" s="45">
        <f t="shared" si="10"/>
        <v>9.8752322924121408E-3</v>
      </c>
      <c r="H73" s="45">
        <f t="shared" si="9"/>
        <v>-3.1676083915263803E-2</v>
      </c>
    </row>
    <row r="74" spans="1:10" s="4" customFormat="1" ht="24.75" customHeight="1">
      <c r="A74" s="42">
        <v>13</v>
      </c>
      <c r="B74" s="43" t="s">
        <v>5</v>
      </c>
      <c r="C74" s="61">
        <v>1521.17</v>
      </c>
      <c r="D74" s="61">
        <v>1376.96</v>
      </c>
      <c r="E74" s="60">
        <v>4097.5200000000004</v>
      </c>
      <c r="F74" s="60">
        <v>3969.25</v>
      </c>
      <c r="G74" s="45">
        <f t="shared" si="10"/>
        <v>4.6629468356903944E-2</v>
      </c>
      <c r="H74" s="45">
        <f t="shared" si="9"/>
        <v>3.2315928701895931E-2</v>
      </c>
      <c r="J74" s="56"/>
    </row>
    <row r="75" spans="1:10" s="4" customFormat="1" ht="24.75" customHeight="1">
      <c r="A75" s="42">
        <v>14</v>
      </c>
      <c r="B75" s="43" t="s">
        <v>94</v>
      </c>
      <c r="C75" s="60">
        <v>20.920858275995002</v>
      </c>
      <c r="D75" s="60">
        <v>5.7987852835738902</v>
      </c>
      <c r="E75" s="60">
        <v>56.390380838037053</v>
      </c>
      <c r="F75" s="60">
        <v>33.830167645166732</v>
      </c>
      <c r="G75" s="45">
        <f t="shared" si="10"/>
        <v>6.4171827810993254E-4</v>
      </c>
      <c r="H75" s="45">
        <f t="shared" si="9"/>
        <v>0.66686672763483834</v>
      </c>
    </row>
    <row r="76" spans="1:10" s="4" customFormat="1" ht="24.75" customHeight="1">
      <c r="A76" s="42">
        <v>15</v>
      </c>
      <c r="B76" s="43" t="s">
        <v>21</v>
      </c>
      <c r="C76" s="60">
        <v>20.403975352500144</v>
      </c>
      <c r="D76" s="60">
        <v>13.776750254499989</v>
      </c>
      <c r="E76" s="60">
        <v>57.462977157619534</v>
      </c>
      <c r="F76" s="60">
        <v>43.943364054119016</v>
      </c>
      <c r="G76" s="45">
        <f t="shared" si="10"/>
        <v>6.5392434327708315E-4</v>
      </c>
      <c r="H76" s="45">
        <f t="shared" si="9"/>
        <v>0.30765994808340719</v>
      </c>
    </row>
    <row r="77" spans="1:10" s="4" customFormat="1" ht="24.75" customHeight="1">
      <c r="A77" s="42">
        <v>16</v>
      </c>
      <c r="B77" s="43" t="s">
        <v>89</v>
      </c>
      <c r="C77" s="60">
        <v>707.14802797759114</v>
      </c>
      <c r="D77" s="60">
        <v>1025.4907937561393</v>
      </c>
      <c r="E77" s="60">
        <v>2955.0934012206885</v>
      </c>
      <c r="F77" s="60">
        <v>3367.090723220475</v>
      </c>
      <c r="G77" s="45">
        <f t="shared" si="10"/>
        <v>3.3628739882640167E-2</v>
      </c>
      <c r="H77" s="45">
        <f t="shared" si="9"/>
        <v>-0.12236003002786008</v>
      </c>
    </row>
    <row r="78" spans="1:10" s="4" customFormat="1" ht="24.75" customHeight="1">
      <c r="A78" s="42">
        <v>17</v>
      </c>
      <c r="B78" s="43" t="s">
        <v>13</v>
      </c>
      <c r="C78" s="60">
        <v>389.14619197552145</v>
      </c>
      <c r="D78" s="60">
        <v>327.38</v>
      </c>
      <c r="E78" s="60">
        <v>1285.0463839005547</v>
      </c>
      <c r="F78" s="60">
        <v>1160.2396825565588</v>
      </c>
      <c r="G78" s="45">
        <f t="shared" si="10"/>
        <v>1.4623730865314811E-2</v>
      </c>
      <c r="H78" s="45">
        <f t="shared" si="9"/>
        <v>0.1075697575426721</v>
      </c>
    </row>
    <row r="79" spans="1:10" s="4" customFormat="1" ht="24.75" customHeight="1">
      <c r="A79" s="42">
        <v>18</v>
      </c>
      <c r="B79" s="43" t="s">
        <v>7</v>
      </c>
      <c r="C79" s="60">
        <v>1152.0762193138953</v>
      </c>
      <c r="D79" s="60">
        <v>984.36314667591796</v>
      </c>
      <c r="E79" s="60">
        <v>3506.2708990480551</v>
      </c>
      <c r="F79" s="60">
        <v>3163.0727021669727</v>
      </c>
      <c r="G79" s="45">
        <f t="shared" si="10"/>
        <v>3.9901098210111091E-2</v>
      </c>
      <c r="H79" s="45">
        <f t="shared" si="9"/>
        <v>0.10850152026096729</v>
      </c>
    </row>
    <row r="80" spans="1:10" s="4" customFormat="1" ht="24.75" customHeight="1">
      <c r="A80" s="42">
        <v>19</v>
      </c>
      <c r="B80" s="43" t="s">
        <v>14</v>
      </c>
      <c r="C80" s="60">
        <v>420.30254028600001</v>
      </c>
      <c r="D80" s="60">
        <v>346.751541266</v>
      </c>
      <c r="E80" s="60">
        <v>1179.8159694090002</v>
      </c>
      <c r="F80" s="60">
        <v>960.38088113699996</v>
      </c>
      <c r="G80" s="45">
        <f t="shared" si="10"/>
        <v>1.3426216690224067E-2</v>
      </c>
      <c r="H80" s="45">
        <f t="shared" si="9"/>
        <v>0.22848756423827379</v>
      </c>
    </row>
    <row r="81" spans="1:10" s="4" customFormat="1" ht="24.75" customHeight="1">
      <c r="A81" s="42">
        <v>20</v>
      </c>
      <c r="B81" s="57" t="s">
        <v>4</v>
      </c>
      <c r="C81" s="60">
        <v>1787.2016343619998</v>
      </c>
      <c r="D81" s="60">
        <v>1396.0987278330017</v>
      </c>
      <c r="E81" s="60">
        <v>6558.6445181359995</v>
      </c>
      <c r="F81" s="60">
        <v>4886.4578040309989</v>
      </c>
      <c r="G81" s="45">
        <f t="shared" si="10"/>
        <v>7.4636879630265149E-2</v>
      </c>
      <c r="H81" s="45">
        <f t="shared" si="9"/>
        <v>0.34220836056858184</v>
      </c>
    </row>
    <row r="82" spans="1:10" s="4" customFormat="1" ht="24.75" customHeight="1">
      <c r="A82" s="42">
        <v>21</v>
      </c>
      <c r="B82" s="57" t="s">
        <v>0</v>
      </c>
      <c r="C82" s="60">
        <v>3670.1325477</v>
      </c>
      <c r="D82" s="60">
        <v>3328.2291891</v>
      </c>
      <c r="E82" s="60">
        <v>12700.7326187</v>
      </c>
      <c r="F82" s="60">
        <v>12299.4947921</v>
      </c>
      <c r="G82" s="45">
        <f t="shared" si="10"/>
        <v>0.14453337866640537</v>
      </c>
      <c r="H82" s="45">
        <f t="shared" si="9"/>
        <v>3.2622301434504106E-2</v>
      </c>
    </row>
    <row r="83" spans="1:10" s="4" customFormat="1" ht="24.75" customHeight="1">
      <c r="A83" s="42">
        <v>22</v>
      </c>
      <c r="B83" s="57" t="s">
        <v>3</v>
      </c>
      <c r="C83" s="60">
        <v>2271.592840715</v>
      </c>
      <c r="D83" s="60">
        <v>1711.0923</v>
      </c>
      <c r="E83" s="60">
        <v>6222.1530185749998</v>
      </c>
      <c r="F83" s="60">
        <v>5805.1283000000003</v>
      </c>
      <c r="G83" s="45">
        <f t="shared" si="10"/>
        <v>7.0807631760542292E-2</v>
      </c>
      <c r="H83" s="45">
        <f t="shared" si="9"/>
        <v>7.1837295753652761E-2</v>
      </c>
      <c r="J83" s="56"/>
    </row>
    <row r="84" spans="1:10" s="4" customFormat="1" ht="24.75" customHeight="1">
      <c r="A84" s="42">
        <v>23</v>
      </c>
      <c r="B84" s="57" t="s">
        <v>2</v>
      </c>
      <c r="C84" s="60">
        <v>1791.69</v>
      </c>
      <c r="D84" s="60">
        <v>1745.35</v>
      </c>
      <c r="E84" s="60">
        <v>5725.7899999999991</v>
      </c>
      <c r="F84" s="60">
        <v>5665.6900000000005</v>
      </c>
      <c r="G84" s="45">
        <f t="shared" si="10"/>
        <v>6.5159058070070913E-2</v>
      </c>
      <c r="H84" s="45">
        <f t="shared" si="9"/>
        <v>1.0607710623065952E-2</v>
      </c>
    </row>
    <row r="85" spans="1:10" s="4" customFormat="1" ht="24.75" customHeight="1">
      <c r="A85" s="42">
        <v>24</v>
      </c>
      <c r="B85" s="57" t="s">
        <v>11</v>
      </c>
      <c r="C85" s="60">
        <v>504.93886858202524</v>
      </c>
      <c r="D85" s="60">
        <v>402.317115</v>
      </c>
      <c r="E85" s="60">
        <v>1750.617143990057</v>
      </c>
      <c r="F85" s="60">
        <v>1311.4530892747969</v>
      </c>
      <c r="G85" s="45">
        <f t="shared" si="10"/>
        <v>1.9921890978137485E-2</v>
      </c>
      <c r="H85" s="45">
        <f t="shared" si="9"/>
        <v>0.33486829098714288</v>
      </c>
    </row>
    <row r="86" spans="1:10" s="4" customFormat="1" ht="24.75" customHeight="1">
      <c r="A86" s="42">
        <v>25</v>
      </c>
      <c r="B86" s="43" t="s">
        <v>19</v>
      </c>
      <c r="C86" s="60">
        <v>132.05000000000001</v>
      </c>
      <c r="D86" s="60">
        <v>82.080000000000013</v>
      </c>
      <c r="E86" s="60">
        <v>401.72</v>
      </c>
      <c r="F86" s="60">
        <v>248.49</v>
      </c>
      <c r="G86" s="45">
        <f t="shared" si="10"/>
        <v>4.5715432818718279E-3</v>
      </c>
      <c r="H86" s="45">
        <f t="shared" si="9"/>
        <v>0.61664453297919442</v>
      </c>
    </row>
    <row r="87" spans="1:10" s="4" customFormat="1" ht="24.75" customHeight="1">
      <c r="A87" s="42">
        <v>26</v>
      </c>
      <c r="B87" s="43" t="s">
        <v>76</v>
      </c>
      <c r="C87" s="60">
        <v>214.990128215</v>
      </c>
      <c r="D87" s="60">
        <v>143.4931383310076</v>
      </c>
      <c r="E87" s="60">
        <v>624.91694702799998</v>
      </c>
      <c r="F87" s="60">
        <v>574.11759824390435</v>
      </c>
      <c r="G87" s="45">
        <f t="shared" si="10"/>
        <v>7.1115076941992081E-3</v>
      </c>
      <c r="H87" s="45">
        <f t="shared" si="9"/>
        <v>8.8482479790689794E-2</v>
      </c>
    </row>
    <row r="88" spans="1:10" s="4" customFormat="1" ht="24.75" customHeight="1">
      <c r="A88" s="42"/>
      <c r="B88" s="46" t="s">
        <v>68</v>
      </c>
      <c r="C88" s="62">
        <f>SUM(C62:C87)</f>
        <v>22766.028988040311</v>
      </c>
      <c r="D88" s="62">
        <f>SUM(D62:D87)</f>
        <v>19895.082031147602</v>
      </c>
      <c r="E88" s="62">
        <f>SUM(E62:E87)</f>
        <v>75442.558277094329</v>
      </c>
      <c r="F88" s="62">
        <f>SUM(F62:F87)</f>
        <v>69712.239644910267</v>
      </c>
      <c r="G88" s="47">
        <f t="shared" si="10"/>
        <v>0.85853061948340736</v>
      </c>
      <c r="H88" s="47">
        <f t="shared" si="9"/>
        <v>8.2199605999926248E-2</v>
      </c>
    </row>
    <row r="89" spans="1:10" s="4" customFormat="1" ht="24.75" customHeight="1">
      <c r="A89" s="42">
        <v>27</v>
      </c>
      <c r="B89" s="43" t="s">
        <v>12</v>
      </c>
      <c r="C89" s="60">
        <v>753.7808473</v>
      </c>
      <c r="D89" s="60">
        <v>542.0278227</v>
      </c>
      <c r="E89" s="60">
        <v>2005.3612601999998</v>
      </c>
      <c r="F89" s="60">
        <v>1326.6503570261102</v>
      </c>
      <c r="G89" s="45">
        <f t="shared" si="10"/>
        <v>2.2820859794865405E-2</v>
      </c>
      <c r="H89" s="45">
        <f t="shared" si="9"/>
        <v>0.51159742247032136</v>
      </c>
    </row>
    <row r="90" spans="1:10" s="5" customFormat="1" ht="24.75" customHeight="1">
      <c r="A90" s="42">
        <v>28</v>
      </c>
      <c r="B90" s="43" t="s">
        <v>95</v>
      </c>
      <c r="C90" s="60">
        <v>970.37044736791302</v>
      </c>
      <c r="D90" s="60">
        <v>683.698361879034</v>
      </c>
      <c r="E90" s="60">
        <v>2927.1527616416497</v>
      </c>
      <c r="F90" s="60">
        <v>2049.4441600787222</v>
      </c>
      <c r="G90" s="45">
        <f t="shared" si="10"/>
        <v>3.3310777512933015E-2</v>
      </c>
      <c r="H90" s="45">
        <f t="shared" si="9"/>
        <v>0.42826665817975412</v>
      </c>
    </row>
    <row r="91" spans="1:10" s="4" customFormat="1" ht="24.75" customHeight="1">
      <c r="A91" s="42">
        <v>29</v>
      </c>
      <c r="B91" s="43" t="s">
        <v>17</v>
      </c>
      <c r="C91" s="60">
        <v>220.94629088304839</v>
      </c>
      <c r="D91" s="60">
        <v>177.59212028471384</v>
      </c>
      <c r="E91" s="60">
        <v>704.30350492172329</v>
      </c>
      <c r="F91" s="60">
        <v>532.00230458094052</v>
      </c>
      <c r="G91" s="45">
        <f t="shared" si="10"/>
        <v>8.0149207316630635E-3</v>
      </c>
      <c r="H91" s="45">
        <f t="shared" si="9"/>
        <v>0.32387303373902643</v>
      </c>
    </row>
    <row r="92" spans="1:10" s="4" customFormat="1" ht="24.75" customHeight="1">
      <c r="A92" s="42">
        <v>30</v>
      </c>
      <c r="B92" s="43" t="s">
        <v>69</v>
      </c>
      <c r="C92" s="60">
        <v>798.17166873867768</v>
      </c>
      <c r="D92" s="60">
        <v>594.290979378369</v>
      </c>
      <c r="E92" s="60">
        <v>2149.9575250550001</v>
      </c>
      <c r="F92" s="60">
        <v>1631.9013934566044</v>
      </c>
      <c r="G92" s="45">
        <f t="shared" si="10"/>
        <v>2.44663543761201E-2</v>
      </c>
      <c r="H92" s="45">
        <f t="shared" si="9"/>
        <v>0.31745553602419413</v>
      </c>
    </row>
    <row r="93" spans="1:10" s="4" customFormat="1" ht="24.75" customHeight="1">
      <c r="A93" s="42"/>
      <c r="B93" s="43" t="s">
        <v>70</v>
      </c>
      <c r="C93" s="60">
        <v>0</v>
      </c>
      <c r="D93" s="60">
        <v>0</v>
      </c>
      <c r="E93" s="60">
        <v>0</v>
      </c>
      <c r="F93" s="60">
        <v>0</v>
      </c>
      <c r="G93" s="58">
        <v>0</v>
      </c>
      <c r="H93" s="58">
        <v>0</v>
      </c>
    </row>
    <row r="94" spans="1:10" s="4" customFormat="1" ht="24.75" customHeight="1">
      <c r="A94" s="42">
        <v>31</v>
      </c>
      <c r="B94" s="43" t="s">
        <v>6</v>
      </c>
      <c r="C94" s="60">
        <v>1594.3500000000004</v>
      </c>
      <c r="D94" s="60">
        <v>1337.8364672</v>
      </c>
      <c r="E94" s="60">
        <v>4287.09</v>
      </c>
      <c r="F94" s="60">
        <v>3597.0664672000003</v>
      </c>
      <c r="G94" s="45">
        <f t="shared" ref="G94:G101" si="11">E94/$E$101</f>
        <v>4.8786760649905142E-2</v>
      </c>
      <c r="H94" s="45">
        <f t="shared" si="9"/>
        <v>0.19182951971891765</v>
      </c>
    </row>
    <row r="95" spans="1:10" s="4" customFormat="1" ht="24.75" customHeight="1">
      <c r="A95" s="42">
        <v>32</v>
      </c>
      <c r="B95" s="43" t="s">
        <v>79</v>
      </c>
      <c r="C95" s="60">
        <v>6.9349879000000003</v>
      </c>
      <c r="D95" s="60">
        <v>0.62875927033898305</v>
      </c>
      <c r="E95" s="60">
        <v>26.170375534337598</v>
      </c>
      <c r="F95" s="60">
        <v>1.718059270338983</v>
      </c>
      <c r="G95" s="45">
        <f t="shared" si="11"/>
        <v>2.9781689848168842E-4</v>
      </c>
      <c r="H95" s="45">
        <f t="shared" si="9"/>
        <v>14.232521942723217</v>
      </c>
    </row>
    <row r="96" spans="1:10" s="4" customFormat="1" ht="24.75" customHeight="1">
      <c r="A96" s="42">
        <v>33</v>
      </c>
      <c r="B96" s="43" t="s">
        <v>81</v>
      </c>
      <c r="C96" s="60">
        <v>28.787930387006931</v>
      </c>
      <c r="D96" s="60">
        <v>4.5683554385762726</v>
      </c>
      <c r="E96" s="60">
        <v>61.227039093091683</v>
      </c>
      <c r="F96" s="60">
        <v>12.283355642892651</v>
      </c>
      <c r="G96" s="45">
        <f t="shared" si="11"/>
        <v>6.9675908402600569E-4</v>
      </c>
      <c r="H96" s="45">
        <f t="shared" si="9"/>
        <v>3.9845531525026421</v>
      </c>
    </row>
    <row r="97" spans="1:8" s="4" customFormat="1" ht="24.75" customHeight="1">
      <c r="A97" s="42"/>
      <c r="B97" s="46" t="s">
        <v>71</v>
      </c>
      <c r="C97" s="63">
        <f>SUM(C89:C96)</f>
        <v>4373.3421725766466</v>
      </c>
      <c r="D97" s="63">
        <f>SUM(D89:D96)</f>
        <v>3340.6428661510322</v>
      </c>
      <c r="E97" s="63">
        <f>SUM(E89:E96)</f>
        <v>12161.262466445802</v>
      </c>
      <c r="F97" s="63">
        <f>SUM(F89:F96)</f>
        <v>9151.0660972556088</v>
      </c>
      <c r="G97" s="47">
        <f t="shared" si="11"/>
        <v>0.13839424904799441</v>
      </c>
      <c r="H97" s="47">
        <f t="shared" si="9"/>
        <v>0.32894488327353971</v>
      </c>
    </row>
    <row r="98" spans="1:8" s="4" customFormat="1" ht="24.75" customHeight="1">
      <c r="A98" s="48">
        <v>34</v>
      </c>
      <c r="B98" s="43" t="s">
        <v>20</v>
      </c>
      <c r="C98" s="60">
        <v>15.325280898999999</v>
      </c>
      <c r="D98" s="60">
        <v>40.057953504505406</v>
      </c>
      <c r="E98" s="60">
        <v>-74.235758994999998</v>
      </c>
      <c r="F98" s="60">
        <v>67.935969178465257</v>
      </c>
      <c r="G98" s="45">
        <f t="shared" si="11"/>
        <v>-8.4479733473127633E-4</v>
      </c>
      <c r="H98" s="45">
        <f t="shared" si="9"/>
        <v>-2.0927312864262735</v>
      </c>
    </row>
    <row r="99" spans="1:8" s="4" customFormat="1" ht="24.75" customHeight="1">
      <c r="A99" s="48">
        <v>35</v>
      </c>
      <c r="B99" s="43" t="s">
        <v>18</v>
      </c>
      <c r="C99" s="60">
        <v>125.3</v>
      </c>
      <c r="D99" s="60">
        <v>125.4</v>
      </c>
      <c r="E99" s="60">
        <v>344.46</v>
      </c>
      <c r="F99" s="60">
        <v>321.65999999999997</v>
      </c>
      <c r="G99" s="45">
        <f t="shared" si="11"/>
        <v>3.9199288033296064E-3</v>
      </c>
      <c r="H99" s="45">
        <f t="shared" si="9"/>
        <v>7.0882298078716696E-2</v>
      </c>
    </row>
    <row r="100" spans="1:8" s="4" customFormat="1" ht="26.25">
      <c r="A100" s="42"/>
      <c r="B100" s="46" t="s">
        <v>72</v>
      </c>
      <c r="C100" s="64">
        <f>SUM(C98:C99)</f>
        <v>140.62528089899999</v>
      </c>
      <c r="D100" s="64">
        <f t="shared" ref="D100:F100" si="12">SUM(D98:D99)</f>
        <v>165.45795350450541</v>
      </c>
      <c r="E100" s="64">
        <f t="shared" si="12"/>
        <v>270.22424100499995</v>
      </c>
      <c r="F100" s="64">
        <f t="shared" si="12"/>
        <v>389.59596917846523</v>
      </c>
      <c r="G100" s="45">
        <f t="shared" si="11"/>
        <v>3.0751314685983299E-3</v>
      </c>
      <c r="H100" s="45">
        <f t="shared" si="9"/>
        <v>-0.30639877621214234</v>
      </c>
    </row>
    <row r="101" spans="1:8" s="4" customFormat="1" ht="26.25">
      <c r="A101" s="42"/>
      <c r="B101" s="49" t="s">
        <v>73</v>
      </c>
      <c r="C101" s="65">
        <f>(C88+C97+C100)</f>
        <v>27279.996441515956</v>
      </c>
      <c r="D101" s="65">
        <f>(D88+D97+D100)</f>
        <v>23401.182850803139</v>
      </c>
      <c r="E101" s="65">
        <f>(E88+E97+E100)</f>
        <v>87874.044984545122</v>
      </c>
      <c r="F101" s="65">
        <f>(F88+F97+F100)</f>
        <v>79252.901711344341</v>
      </c>
      <c r="G101" s="47">
        <f t="shared" si="11"/>
        <v>1</v>
      </c>
      <c r="H101" s="47">
        <f t="shared" si="9"/>
        <v>0.10878015930067507</v>
      </c>
    </row>
    <row r="102" spans="1:8" s="6" customFormat="1" ht="15">
      <c r="A102" s="68" t="s">
        <v>74</v>
      </c>
      <c r="B102" s="68"/>
      <c r="C102" s="68"/>
      <c r="D102" s="68"/>
      <c r="E102" s="68"/>
      <c r="F102" s="68"/>
      <c r="G102" s="68"/>
      <c r="H102" s="68"/>
    </row>
    <row r="103" spans="1:8" s="6" customFormat="1" ht="15" customHeight="1">
      <c r="A103" s="68" t="s">
        <v>75</v>
      </c>
      <c r="B103" s="68"/>
      <c r="C103" s="68"/>
      <c r="D103" s="37"/>
      <c r="E103" s="37"/>
      <c r="F103" s="37"/>
      <c r="G103" s="37"/>
      <c r="H103" s="37"/>
    </row>
    <row r="104" spans="1:8" ht="15.75">
      <c r="A104" s="66"/>
      <c r="B104" s="66"/>
      <c r="C104" s="66"/>
      <c r="D104" s="10"/>
      <c r="E104" s="9"/>
      <c r="F104" s="9"/>
      <c r="G104" s="8"/>
      <c r="H104" s="8"/>
    </row>
    <row r="65166" spans="1:7" s="11" customFormat="1">
      <c r="A65166" s="7"/>
      <c r="B65166" s="13"/>
      <c r="C65166" s="12"/>
      <c r="D65166" s="12"/>
      <c r="E65166" s="12"/>
      <c r="F65166" s="12"/>
      <c r="G65166" s="1">
        <v>0</v>
      </c>
    </row>
  </sheetData>
  <sortState ref="B59:H83">
    <sortCondition ref="B59:B83"/>
  </sortState>
  <mergeCells count="26">
    <mergeCell ref="A52:D52"/>
    <mergeCell ref="A53:H53"/>
    <mergeCell ref="A55:H55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4:C104"/>
    <mergeCell ref="A56:H56"/>
    <mergeCell ref="A102:H102"/>
    <mergeCell ref="C59:F59"/>
    <mergeCell ref="G59:G61"/>
    <mergeCell ref="H59:H61"/>
    <mergeCell ref="A60:A61"/>
    <mergeCell ref="B60:B61"/>
    <mergeCell ref="C60:D60"/>
    <mergeCell ref="E60:F60"/>
    <mergeCell ref="A103:C103"/>
    <mergeCell ref="A57:H57"/>
  </mergeCells>
  <printOptions horizontalCentered="1" verticalCentered="1"/>
  <pageMargins left="0.2" right="0.2" top="0.5" bottom="0.25" header="0" footer="0"/>
  <pageSetup paperSize="9" scale="42" orientation="landscape" r:id="rId1"/>
  <headerFooter alignWithMargins="0"/>
  <rowBreaks count="1" manualBreakCount="1">
    <brk id="5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2026-04-08T10:12:03Z</cp:lastPrinted>
  <dcterms:created xsi:type="dcterms:W3CDTF">2024-07-04T10:52:00Z</dcterms:created>
  <dcterms:modified xsi:type="dcterms:W3CDTF">2026-07-09T06:32:28Z</dcterms:modified>
</cp:coreProperties>
</file>