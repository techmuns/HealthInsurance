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9.DECEMBER\GDP Flash Dec 2025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6" i="2" l="1"/>
  <c r="D46" i="2"/>
  <c r="E46" i="2"/>
  <c r="C46" i="2"/>
  <c r="C86" i="2" l="1"/>
  <c r="H61" i="2" l="1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6" i="2"/>
  <c r="H97" i="2"/>
  <c r="E37" i="2" l="1"/>
  <c r="F86" i="2" l="1"/>
  <c r="E86" i="2"/>
  <c r="D86" i="2"/>
  <c r="C98" i="2"/>
  <c r="D95" i="2"/>
  <c r="C95" i="2"/>
  <c r="F95" i="2"/>
  <c r="E95" i="2"/>
  <c r="H39" i="2" l="1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D99" i="2" l="1"/>
  <c r="F99" i="2"/>
  <c r="E99" i="2"/>
  <c r="G61" i="2" s="1"/>
  <c r="C99" i="2"/>
  <c r="H98" i="2"/>
  <c r="H95" i="2"/>
  <c r="H86" i="2"/>
  <c r="G69" i="2" l="1"/>
  <c r="G99" i="2"/>
  <c r="G87" i="2"/>
  <c r="G94" i="2"/>
  <c r="G93" i="2"/>
  <c r="G82" i="2"/>
  <c r="G62" i="2"/>
  <c r="G70" i="2"/>
  <c r="G73" i="2"/>
  <c r="G72" i="2"/>
  <c r="G68" i="2"/>
  <c r="G77" i="2"/>
  <c r="G67" i="2"/>
  <c r="G76" i="2"/>
  <c r="G66" i="2"/>
  <c r="G85" i="2"/>
  <c r="G86" i="2"/>
  <c r="G75" i="2"/>
  <c r="G65" i="2"/>
  <c r="G98" i="2"/>
  <c r="G84" i="2"/>
  <c r="G89" i="2"/>
  <c r="G74" i="2"/>
  <c r="G88" i="2"/>
  <c r="G64" i="2"/>
  <c r="G92" i="2"/>
  <c r="G83" i="2"/>
  <c r="G63" i="2"/>
  <c r="G81" i="2"/>
  <c r="G79" i="2"/>
  <c r="G71" i="2"/>
  <c r="G97" i="2"/>
  <c r="G95" i="2"/>
  <c r="G80" i="2"/>
  <c r="G96" i="2"/>
  <c r="G90" i="2"/>
  <c r="G78" i="2"/>
  <c r="G49" i="2"/>
  <c r="G50" i="2"/>
  <c r="G46" i="2"/>
  <c r="G37" i="2"/>
  <c r="H99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<sst xmlns="http://schemas.openxmlformats.org/spreadsheetml/2006/main" count="122" uniqueCount="106">
  <si>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</si>
  <si>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</si>
  <si>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</si>
  <si>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</si>
  <si>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</si>
  <si>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</si>
  <si>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HDFC Ergo General insurance Company Limited</t>
  </si>
  <si>
    <t>National Insurance Company Limited</t>
  </si>
  <si>
    <t>Star Health &amp; Allied Insurance Company Limited</t>
  </si>
  <si>
    <t>Reliance General Insurance Company Limited</t>
  </si>
  <si>
    <t>SBI General Insurance Company Limited</t>
  </si>
  <si>
    <t>Go Digit General Insurance Limited</t>
  </si>
  <si>
    <t>Care Health Insurance Company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</si>
  <si>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</si>
  <si>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</si>
  <si>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</si>
  <si>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</si>
  <si>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</si>
  <si>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</si>
  <si>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</si>
  <si>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</si>
  <si>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</si>
  <si>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</si>
  <si>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Kshema General Insurance Company Limited</t>
  </si>
  <si>
    <t>Zuno General Insurance Limited</t>
  </si>
  <si>
    <t>Agricultural Insurance Company of India Limited</t>
  </si>
  <si>
    <t>Raheja QBE General Insurance Company Limited</t>
  </si>
  <si>
    <t>NAVI General Insurance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</si>
  <si>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</si>
  <si>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</si>
  <si>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</si>
  <si>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</si>
  <si>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</si>
  <si>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</si>
  <si>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</si>
  <si>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</si>
  <si>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</si>
  <si>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बजाज एलियांज जनरल इंश्योरेंस कंपनी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</si>
  <si>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</si>
  <si>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</si>
  <si>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</si>
  <si>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</si>
  <si>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</si>
  <si>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</si>
  <si>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</si>
  <si>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</si>
  <si>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</si>
  <si>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</si>
  <si>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रिलायंस जनरल इंश्योरेंस कंपनी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</si>
  <si>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</si>
  <si>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</si>
  <si>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</si>
  <si>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</si>
  <si>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</si>
  <si>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</si>
  <si>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</si>
  <si>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</si>
  <si>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</si>
  <si>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</si>
  <si>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</si>
  <si>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</si>
  <si>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</si>
  <si>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</si>
  <si>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</si>
  <si>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</si>
  <si>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</si>
  <si>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</si>
  <si>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</si>
  <si>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</si>
  <si>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</si>
  <si>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</si>
  <si>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</si>
  <si>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</si>
  <si>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</si>
  <si>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</si>
  <si>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</si>
  <si>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</si>
  <si>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</si>
  <si>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</si>
  <si>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</si>
  <si>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</si>
  <si>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</si>
  <si>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</si>
  <si>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</si>
  <si>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</si>
  <si>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</si>
  <si>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</si>
  <si>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</si>
  <si>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</si>
  <si>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</si>
  <si>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</si>
  <si>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</si>
  <si>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</si>
  <si>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</si>
  <si>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</si>
  <si>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</si>
  <si>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</si>
  <si>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</si>
  <si>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दिसंबर , 2025 माह और तक के लिए सकल प्रत्यक्ष प्रीमियम अधिग्रहण</t>
  </si>
  <si>
    <t>दिसंबर  माह के लिए</t>
  </si>
  <si>
    <t>दिसंबर माह तक</t>
  </si>
  <si>
    <t>दिसंबर , 2025 माह तक बाजार शेयर  (%)</t>
  </si>
  <si>
    <t>GROSS DIRECT PREMIUM UNDERWRITTEN FOR AND UPTO THE MONTH  OF DECEMBER, 2025</t>
  </si>
  <si>
    <t>For the Month of DECEMBER</t>
  </si>
  <si>
    <t>Upto the Month of DECEMBER</t>
  </si>
  <si>
    <t>Market Share upto the Month of DECEMBER, 2025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</si>
</sst>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10" fontId="23" fillId="2" borderId="3" xfId="0" applyNumberFormat="1" applyFont="1" applyFill="1" applyBorder="1" applyAlignment="1">
      <alignment vertical="center"/>
    </xf>
    <xf numFmtId="43" fontId="28" fillId="2" borderId="3" xfId="0" applyNumberFormat="1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  <xf numFmtId="164" fontId="7" fillId="0" borderId="3" xfId="1" applyNumberFormat="1" applyFont="1" applyFill="1" applyBorder="1" applyAlignment="1">
      <alignment horizontal="right" vertical="center" inden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31" zoomScale="98" zoomScaleNormal="98" zoomScaleSheetLayoutView="98" workbookViewId="0">
      <selection activeCell="C99" sqref="C99:F99"/>
    </sheetView>
  </sheetViews>
  <sheetFormatPr defaultRowHeight="12.75"/>
  <cols>
    <col min="1" max="1" width="12.85546875" style="7" customWidth="1"/>
    <col min="2" max="2" width="93.4257812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9" t="s">
        <v>28</v>
      </c>
      <c r="B2" s="69"/>
      <c r="C2" s="69"/>
      <c r="D2" s="69"/>
      <c r="E2" s="69"/>
      <c r="F2" s="69"/>
      <c r="G2" s="69"/>
      <c r="H2" s="69"/>
    </row>
    <row r="3" spans="1:8" s="2" customFormat="1" ht="36" customHeight="1">
      <c r="A3" s="70" t="s">
        <v>29</v>
      </c>
      <c r="B3" s="70"/>
      <c r="C3" s="70"/>
      <c r="D3" s="70"/>
      <c r="E3" s="70"/>
      <c r="F3" s="70"/>
      <c r="G3" s="70"/>
      <c r="H3" s="70"/>
    </row>
    <row r="4" spans="1:8" s="2" customFormat="1" ht="36" customHeight="1">
      <c r="A4" s="71" t="s">
        <v>98</v>
      </c>
      <c r="B4" s="71"/>
      <c r="C4" s="71"/>
      <c r="D4" s="71"/>
      <c r="E4" s="71"/>
      <c r="F4" s="71"/>
      <c r="G4" s="71"/>
      <c r="H4" s="71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2" t="s">
        <v>30</v>
      </c>
      <c r="D6" s="72"/>
      <c r="E6" s="72"/>
      <c r="F6" s="72"/>
      <c r="G6" s="73" t="s">
        <v>101</v>
      </c>
      <c r="H6" s="73" t="s">
        <v>31</v>
      </c>
    </row>
    <row r="7" spans="1:8" s="4" customFormat="1" ht="11.25" customHeight="1">
      <c r="B7" s="20"/>
      <c r="C7" s="76" t="s">
        <v>32</v>
      </c>
      <c r="D7" s="76"/>
      <c r="E7" s="76"/>
      <c r="F7" s="76"/>
      <c r="G7" s="74"/>
      <c r="H7" s="74"/>
    </row>
    <row r="8" spans="1:8" s="22" customFormat="1" ht="32.25" customHeight="1">
      <c r="A8" s="38"/>
      <c r="B8" s="21"/>
      <c r="C8" s="77" t="s">
        <v>99</v>
      </c>
      <c r="D8" s="77"/>
      <c r="E8" s="77" t="s">
        <v>100</v>
      </c>
      <c r="F8" s="77"/>
      <c r="G8" s="74"/>
      <c r="H8" s="74"/>
    </row>
    <row r="9" spans="1:8" s="23" customFormat="1" ht="9" customHeight="1">
      <c r="A9" s="38"/>
      <c r="B9" s="21"/>
      <c r="C9" s="76" t="s">
        <v>33</v>
      </c>
      <c r="D9" s="76"/>
      <c r="E9" s="76" t="s">
        <v>32</v>
      </c>
      <c r="F9" s="76"/>
      <c r="G9" s="74"/>
      <c r="H9" s="74"/>
    </row>
    <row r="10" spans="1:8" s="24" customFormat="1" ht="47.25" customHeight="1">
      <c r="A10" s="41" t="s">
        <v>34</v>
      </c>
      <c r="B10" s="41" t="s">
        <v>35</v>
      </c>
      <c r="C10" s="62" t="s">
        <v>94</v>
      </c>
      <c r="D10" s="62" t="s">
        <v>0</v>
      </c>
      <c r="E10" s="62" t="s">
        <v>94</v>
      </c>
      <c r="F10" s="62" t="s">
        <v>0</v>
      </c>
      <c r="G10" s="75"/>
      <c r="H10" s="75"/>
    </row>
    <row r="11" spans="1:8" s="3" customFormat="1" ht="13.5" customHeight="1">
      <c r="A11" s="25" t="s">
        <v>32</v>
      </c>
      <c r="B11" s="25" t="s">
        <v>33</v>
      </c>
      <c r="C11" s="26" t="s">
        <v>33</v>
      </c>
      <c r="D11" s="26" t="s">
        <v>32</v>
      </c>
      <c r="E11" s="26" t="s">
        <v>32</v>
      </c>
      <c r="F11" s="26" t="s">
        <v>32</v>
      </c>
      <c r="G11" s="27" t="s">
        <v>32</v>
      </c>
      <c r="H11" s="27" t="s">
        <v>32</v>
      </c>
    </row>
    <row r="12" spans="1:8" s="4" customFormat="1" ht="25.5">
      <c r="A12" s="50">
        <v>1</v>
      </c>
      <c r="B12" s="54" t="s">
        <v>36</v>
      </c>
      <c r="C12" s="66">
        <v>247.73</v>
      </c>
      <c r="D12" s="66">
        <v>172.66858430000002</v>
      </c>
      <c r="E12" s="66">
        <v>1888.6156820000001</v>
      </c>
      <c r="F12" s="66">
        <v>1555.955874697273</v>
      </c>
      <c r="G12" s="55">
        <f t="shared" ref="G12:G36" si="0">E12/$E$50</f>
        <v>7.5561263788701755E-3</v>
      </c>
      <c r="H12" s="55">
        <f>((E12-F12)/F12)</f>
        <v>0.21379771284802629</v>
      </c>
    </row>
    <row r="13" spans="1:8" s="4" customFormat="1" ht="25.5">
      <c r="A13" s="50">
        <v>2</v>
      </c>
      <c r="B13" s="54" t="s">
        <v>37</v>
      </c>
      <c r="C13" s="66">
        <v>1415.3010961000002</v>
      </c>
      <c r="D13" s="66">
        <v>1330.9104865000002</v>
      </c>
      <c r="E13" s="66">
        <v>18879.147510400002</v>
      </c>
      <c r="F13" s="66">
        <v>17112.454574100004</v>
      </c>
      <c r="G13" s="55">
        <f t="shared" si="0"/>
        <v>7.5533220375914811E-2</v>
      </c>
      <c r="H13" s="55">
        <f t="shared" ref="H13:H46" si="1">((E13-F13)/F13)</f>
        <v>0.10324018267805475</v>
      </c>
    </row>
    <row r="14" spans="1:8" s="4" customFormat="1" ht="25.5">
      <c r="A14" s="50">
        <v>3</v>
      </c>
      <c r="B14" s="54" t="s">
        <v>38</v>
      </c>
      <c r="C14" s="66">
        <v>650.75379162980198</v>
      </c>
      <c r="D14" s="66">
        <v>634.54632355391846</v>
      </c>
      <c r="E14" s="66">
        <v>5713.9299525859606</v>
      </c>
      <c r="F14" s="66">
        <v>6095.1599645707711</v>
      </c>
      <c r="G14" s="55">
        <f t="shared" si="0"/>
        <v>2.2860753118405581E-2</v>
      </c>
      <c r="H14" s="55">
        <f t="shared" si="1"/>
        <v>-6.2546350579932186E-2</v>
      </c>
    </row>
    <row r="15" spans="1:8" s="4" customFormat="1" ht="25.5">
      <c r="A15" s="50">
        <v>4</v>
      </c>
      <c r="B15" s="54" t="s">
        <v>96</v>
      </c>
      <c r="C15" s="66">
        <v>311.43562565719992</v>
      </c>
      <c r="D15" s="66">
        <v>236.57430471155669</v>
      </c>
      <c r="E15" s="66">
        <v>3764.2876680266554</v>
      </c>
      <c r="F15" s="66">
        <v>3716.7566445511789</v>
      </c>
      <c r="G15" s="55">
        <f t="shared" si="0"/>
        <v>1.5060466571955483E-2</v>
      </c>
      <c r="H15" s="55">
        <f t="shared" si="1"/>
        <v>1.2788306585839499E-2</v>
      </c>
    </row>
    <row r="16" spans="1:8" s="4" customFormat="1" ht="25.5">
      <c r="A16" s="50">
        <v>5</v>
      </c>
      <c r="B16" s="54" t="s">
        <v>39</v>
      </c>
      <c r="C16" s="66">
        <v>777.29757009999992</v>
      </c>
      <c r="D16" s="66">
        <v>636.14006534199996</v>
      </c>
      <c r="E16" s="66">
        <v>7443.9203260999993</v>
      </c>
      <c r="F16" s="66">
        <v>6491.1856846479996</v>
      </c>
      <c r="G16" s="55">
        <f t="shared" si="0"/>
        <v>2.978223853287483E-2</v>
      </c>
      <c r="H16" s="55">
        <f t="shared" si="1"/>
        <v>0.14677359233541384</v>
      </c>
    </row>
    <row r="17" spans="1:8" s="4" customFormat="1" ht="25.5">
      <c r="A17" s="50">
        <v>6</v>
      </c>
      <c r="B17" s="54" t="s">
        <v>40</v>
      </c>
      <c r="C17" s="66">
        <v>1283.4204057948984</v>
      </c>
      <c r="D17" s="66">
        <v>945.45858361122566</v>
      </c>
      <c r="E17" s="66">
        <v>10980.216911810503</v>
      </c>
      <c r="F17" s="66">
        <v>12211.909957454096</v>
      </c>
      <c r="G17" s="55">
        <f t="shared" si="0"/>
        <v>4.3930539941925438E-2</v>
      </c>
      <c r="H17" s="55">
        <f t="shared" si="1"/>
        <v>-0.10085998422317002</v>
      </c>
    </row>
    <row r="18" spans="1:8" s="4" customFormat="1" ht="25.5">
      <c r="A18" s="50">
        <v>7</v>
      </c>
      <c r="B18" s="54" t="s">
        <v>41</v>
      </c>
      <c r="C18" s="66">
        <v>2277.86</v>
      </c>
      <c r="D18" s="66">
        <v>1962.2</v>
      </c>
      <c r="E18" s="66">
        <v>21372.236367197991</v>
      </c>
      <c r="F18" s="66">
        <v>20622.820000000003</v>
      </c>
      <c r="G18" s="55">
        <f t="shared" si="0"/>
        <v>8.5507771924575815E-2</v>
      </c>
      <c r="H18" s="55">
        <f t="shared" si="1"/>
        <v>3.633917995686272E-2</v>
      </c>
    </row>
    <row r="19" spans="1:8" s="4" customFormat="1" ht="25.5">
      <c r="A19" s="50">
        <v>8</v>
      </c>
      <c r="B19" s="54" t="s">
        <v>42</v>
      </c>
      <c r="C19" s="66">
        <v>774.19300396400001</v>
      </c>
      <c r="D19" s="66">
        <v>724.43887774399946</v>
      </c>
      <c r="E19" s="66">
        <v>6606.4873659397836</v>
      </c>
      <c r="F19" s="66">
        <v>6310.7497375279981</v>
      </c>
      <c r="G19" s="55">
        <f t="shared" si="0"/>
        <v>2.643176901114503E-2</v>
      </c>
      <c r="H19" s="55">
        <f t="shared" si="1"/>
        <v>4.6862518830865514E-2</v>
      </c>
    </row>
    <row r="20" spans="1:8" s="4" customFormat="1" ht="25.5">
      <c r="A20" s="50">
        <v>9</v>
      </c>
      <c r="B20" s="54" t="s">
        <v>43</v>
      </c>
      <c r="C20" s="66">
        <v>3.3409102047817743</v>
      </c>
      <c r="D20" s="66">
        <v>5.3450975070000002</v>
      </c>
      <c r="E20" s="66">
        <v>527.89021645140849</v>
      </c>
      <c r="F20" s="66">
        <v>715.30995641100003</v>
      </c>
      <c r="G20" s="55">
        <f t="shared" si="0"/>
        <v>2.1120258757207407E-3</v>
      </c>
      <c r="H20" s="55">
        <f t="shared" si="1"/>
        <v>-0.26201192682952762</v>
      </c>
    </row>
    <row r="21" spans="1:8" s="4" customFormat="1" ht="25.5">
      <c r="A21" s="50">
        <v>10</v>
      </c>
      <c r="B21" s="54" t="s">
        <v>44</v>
      </c>
      <c r="C21" s="66">
        <v>210.63867555230237</v>
      </c>
      <c r="D21" s="66">
        <v>153.25655569522013</v>
      </c>
      <c r="E21" s="66">
        <v>2071.8758027092772</v>
      </c>
      <c r="F21" s="66">
        <v>1701.176660915087</v>
      </c>
      <c r="G21" s="55">
        <f t="shared" si="0"/>
        <v>8.2893282925702132E-3</v>
      </c>
      <c r="H21" s="55">
        <f t="shared" si="1"/>
        <v>0.21790749327279499</v>
      </c>
    </row>
    <row r="22" spans="1:8" s="4" customFormat="1" ht="25.5">
      <c r="A22" s="50">
        <v>11</v>
      </c>
      <c r="B22" s="54" t="s">
        <v>93</v>
      </c>
      <c r="C22" s="66">
        <v>268.58766755900001</v>
      </c>
      <c r="D22" s="66">
        <v>215.73280720889548</v>
      </c>
      <c r="E22" s="66">
        <v>2517.234552536238</v>
      </c>
      <c r="F22" s="66">
        <v>2235.3250307289318</v>
      </c>
      <c r="G22" s="55">
        <f t="shared" si="0"/>
        <v>1.0071155601165092E-2</v>
      </c>
      <c r="H22" s="55">
        <f t="shared" si="1"/>
        <v>0.12611567352931063</v>
      </c>
    </row>
    <row r="23" spans="1:8" s="4" customFormat="1" ht="25.5">
      <c r="A23" s="50">
        <v>12</v>
      </c>
      <c r="B23" s="54" t="s">
        <v>45</v>
      </c>
      <c r="C23" s="66">
        <v>1520.36</v>
      </c>
      <c r="D23" s="66">
        <v>1109.96</v>
      </c>
      <c r="E23" s="66">
        <v>13717.35</v>
      </c>
      <c r="F23" s="66">
        <v>12883.8</v>
      </c>
      <c r="G23" s="55">
        <f t="shared" si="0"/>
        <v>5.4881483390750961E-2</v>
      </c>
      <c r="H23" s="55">
        <f t="shared" si="1"/>
        <v>6.4697527127089927E-2</v>
      </c>
    </row>
    <row r="24" spans="1:8" s="4" customFormat="1" ht="25.5">
      <c r="A24" s="50">
        <v>13</v>
      </c>
      <c r="B24" s="54" t="s">
        <v>46</v>
      </c>
      <c r="C24" s="66">
        <v>13.835086865309689</v>
      </c>
      <c r="D24" s="66">
        <v>4.813704410999911</v>
      </c>
      <c r="E24" s="66">
        <v>83.203701757714668</v>
      </c>
      <c r="F24" s="66">
        <v>41.825338753507097</v>
      </c>
      <c r="G24" s="55">
        <f t="shared" si="0"/>
        <v>3.3288809981993708E-4</v>
      </c>
      <c r="H24" s="55">
        <f t="shared" si="1"/>
        <v>0.98931327844267503</v>
      </c>
    </row>
    <row r="25" spans="1:8" s="4" customFormat="1" ht="25.5">
      <c r="A25" s="50">
        <v>14</v>
      </c>
      <c r="B25" s="54" t="s">
        <v>47</v>
      </c>
      <c r="C25" s="66">
        <v>38.428358929999831</v>
      </c>
      <c r="D25" s="66">
        <v>14.152437503999987</v>
      </c>
      <c r="E25" s="66">
        <v>186.472635605357</v>
      </c>
      <c r="F25" s="66">
        <v>311.43207155450455</v>
      </c>
      <c r="G25" s="55">
        <f t="shared" si="0"/>
        <v>7.4605480313653558E-4</v>
      </c>
      <c r="H25" s="55">
        <f t="shared" si="1"/>
        <v>-0.40124138572310808</v>
      </c>
    </row>
    <row r="26" spans="1:8" s="4" customFormat="1" ht="25.5">
      <c r="A26" s="50">
        <v>15</v>
      </c>
      <c r="B26" s="54" t="s">
        <v>48</v>
      </c>
      <c r="C26" s="66">
        <v>854.65372221458892</v>
      </c>
      <c r="D26" s="66">
        <v>1004.814926625933</v>
      </c>
      <c r="E26" s="66">
        <v>9764.1511012940191</v>
      </c>
      <c r="F26" s="66">
        <v>10274.947356839357</v>
      </c>
      <c r="G26" s="55">
        <f t="shared" si="0"/>
        <v>3.9065205487244285E-2</v>
      </c>
      <c r="H26" s="55">
        <f t="shared" si="1"/>
        <v>-4.9712785652895275E-2</v>
      </c>
    </row>
    <row r="27" spans="1:8" s="4" customFormat="1" ht="25.5">
      <c r="A27" s="50">
        <v>16</v>
      </c>
      <c r="B27" s="54" t="s">
        <v>49</v>
      </c>
      <c r="C27" s="66">
        <v>325.08134899899323</v>
      </c>
      <c r="D27" s="66">
        <v>287.44185115325331</v>
      </c>
      <c r="E27" s="66">
        <v>3178.0084662637455</v>
      </c>
      <c r="F27" s="66">
        <v>2818.1187796723507</v>
      </c>
      <c r="G27" s="55">
        <f t="shared" si="0"/>
        <v>1.2714833321080215E-2</v>
      </c>
      <c r="H27" s="55">
        <f t="shared" si="1"/>
        <v>0.12770564860053113</v>
      </c>
    </row>
    <row r="28" spans="1:8" s="4" customFormat="1" ht="25.5">
      <c r="A28" s="50">
        <v>17</v>
      </c>
      <c r="B28" s="54" t="s">
        <v>50</v>
      </c>
      <c r="C28" s="66">
        <v>1259.2049248771996</v>
      </c>
      <c r="D28" s="66">
        <v>1018.8326277363637</v>
      </c>
      <c r="E28" s="66">
        <v>10768.589783432195</v>
      </c>
      <c r="F28" s="66">
        <v>9404.3714578694435</v>
      </c>
      <c r="G28" s="55">
        <f t="shared" si="0"/>
        <v>4.3083845009513094E-2</v>
      </c>
      <c r="H28" s="55">
        <f t="shared" si="1"/>
        <v>0.14506214813762947</v>
      </c>
    </row>
    <row r="29" spans="1:8" s="4" customFormat="1" ht="25.5">
      <c r="A29" s="50">
        <v>18</v>
      </c>
      <c r="B29" s="54" t="s">
        <v>51</v>
      </c>
      <c r="C29" s="66">
        <v>421.96523691499999</v>
      </c>
      <c r="D29" s="66">
        <v>351.86627082400003</v>
      </c>
      <c r="E29" s="66">
        <v>3303.850332298</v>
      </c>
      <c r="F29" s="66">
        <v>2654.2772806120001</v>
      </c>
      <c r="G29" s="55">
        <f t="shared" si="0"/>
        <v>1.3218311637272485E-2</v>
      </c>
      <c r="H29" s="55">
        <f t="shared" si="1"/>
        <v>0.24472690039988096</v>
      </c>
    </row>
    <row r="30" spans="1:8" s="4" customFormat="1" ht="25.5">
      <c r="A30" s="50">
        <v>19</v>
      </c>
      <c r="B30" s="54" t="s">
        <v>52</v>
      </c>
      <c r="C30" s="66">
        <v>1684.8664245739999</v>
      </c>
      <c r="D30" s="66">
        <v>1506.9480608928679</v>
      </c>
      <c r="E30" s="66">
        <v>14984.86622145569</v>
      </c>
      <c r="F30" s="66">
        <v>13246.780236201392</v>
      </c>
      <c r="G30" s="55">
        <f t="shared" si="0"/>
        <v>5.9952664811020025E-2</v>
      </c>
      <c r="H30" s="55">
        <f t="shared" si="1"/>
        <v>0.13120818449938343</v>
      </c>
    </row>
    <row r="31" spans="1:8" s="4" customFormat="1" ht="25.5">
      <c r="A31" s="50">
        <v>20</v>
      </c>
      <c r="B31" s="54" t="s">
        <v>53</v>
      </c>
      <c r="C31" s="66">
        <v>5071.6157963000005</v>
      </c>
      <c r="D31" s="66">
        <v>4348.249186099998</v>
      </c>
      <c r="E31" s="66">
        <v>33505.896467800005</v>
      </c>
      <c r="F31" s="66">
        <v>29452.902314799998</v>
      </c>
      <c r="G31" s="55">
        <f t="shared" si="0"/>
        <v>0.13405310067103246</v>
      </c>
      <c r="H31" s="55">
        <f t="shared" si="1"/>
        <v>0.13760932996281963</v>
      </c>
    </row>
    <row r="32" spans="1:8" s="4" customFormat="1" ht="25.5">
      <c r="A32" s="50">
        <v>21</v>
      </c>
      <c r="B32" s="54" t="s">
        <v>54</v>
      </c>
      <c r="C32" s="66">
        <v>2067.85</v>
      </c>
      <c r="D32" s="66">
        <v>1923.74</v>
      </c>
      <c r="E32" s="66">
        <v>16235.4455</v>
      </c>
      <c r="F32" s="66">
        <v>14934.779900000001</v>
      </c>
      <c r="G32" s="55">
        <f t="shared" si="0"/>
        <v>6.4956083540165729E-2</v>
      </c>
      <c r="H32" s="55">
        <f t="shared" si="1"/>
        <v>8.7089706625003455E-2</v>
      </c>
    </row>
    <row r="33" spans="1:8" s="4" customFormat="1" ht="25.5">
      <c r="A33" s="50">
        <v>22</v>
      </c>
      <c r="B33" s="54" t="s">
        <v>55</v>
      </c>
      <c r="C33" s="66">
        <v>1457.54</v>
      </c>
      <c r="D33" s="66">
        <v>1438.14</v>
      </c>
      <c r="E33" s="66">
        <v>15339.970000000001</v>
      </c>
      <c r="F33" s="66">
        <v>14304.69</v>
      </c>
      <c r="G33" s="55">
        <f t="shared" si="0"/>
        <v>6.1373392730346463E-2</v>
      </c>
      <c r="H33" s="55">
        <f t="shared" si="1"/>
        <v>7.2373466324680974E-2</v>
      </c>
    </row>
    <row r="34" spans="1:8" s="4" customFormat="1" ht="25.5">
      <c r="A34" s="50">
        <v>23</v>
      </c>
      <c r="B34" s="54" t="s">
        <v>56</v>
      </c>
      <c r="C34" s="66">
        <v>504.43332516937306</v>
      </c>
      <c r="D34" s="66">
        <v>395.96763613367602</v>
      </c>
      <c r="E34" s="66">
        <v>4435.850782299015</v>
      </c>
      <c r="F34" s="66">
        <v>4021.5390400749893</v>
      </c>
      <c r="G34" s="55">
        <f t="shared" si="0"/>
        <v>1.7747310598081482E-2</v>
      </c>
      <c r="H34" s="55">
        <f t="shared" si="1"/>
        <v>0.10302318045289946</v>
      </c>
    </row>
    <row r="35" spans="1:8" s="4" customFormat="1" ht="25.5">
      <c r="A35" s="50">
        <v>24</v>
      </c>
      <c r="B35" s="54" t="s">
        <v>57</v>
      </c>
      <c r="C35" s="66">
        <v>130.56</v>
      </c>
      <c r="D35" s="66">
        <v>95.96</v>
      </c>
      <c r="E35" s="66">
        <v>856.82999999999993</v>
      </c>
      <c r="F35" s="66">
        <v>736.58999999999992</v>
      </c>
      <c r="G35" s="55">
        <f t="shared" si="0"/>
        <v>3.4280747676261915E-3</v>
      </c>
      <c r="H35" s="55">
        <f t="shared" si="1"/>
        <v>0.16323870810084309</v>
      </c>
    </row>
    <row r="36" spans="1:8" s="4" customFormat="1" ht="25.5">
      <c r="A36" s="50">
        <v>25</v>
      </c>
      <c r="B36" s="54" t="s">
        <v>86</v>
      </c>
      <c r="C36" s="66">
        <v>167.82567853301526</v>
      </c>
      <c r="D36" s="66">
        <v>161.25576618853847</v>
      </c>
      <c r="E36" s="66">
        <v>1530.4181212942883</v>
      </c>
      <c r="F36" s="66">
        <v>1400.5940808735436</v>
      </c>
      <c r="G36" s="55">
        <f t="shared" si="0"/>
        <v>6.1230206056356925E-3</v>
      </c>
      <c r="H36" s="55">
        <f t="shared" si="1"/>
        <v>9.2692124144758706E-2</v>
      </c>
    </row>
    <row r="37" spans="1:8" s="4" customFormat="1" ht="25.5">
      <c r="A37" s="50"/>
      <c r="B37" s="56" t="s">
        <v>58</v>
      </c>
      <c r="C37" s="47">
        <f>SUM(C12:C36)</f>
        <v>23738.778649939468</v>
      </c>
      <c r="D37" s="47">
        <f t="shared" ref="D37:F37" si="2">SUM(D12:D36)</f>
        <v>20679.414153743448</v>
      </c>
      <c r="E37" s="47">
        <f>SUM(E12:E36)</f>
        <v>209656.74546925785</v>
      </c>
      <c r="F37" s="47">
        <f t="shared" si="2"/>
        <v>195255.4519428554</v>
      </c>
      <c r="G37" s="57">
        <f t="shared" ref="G37" si="3">E37/$E$99</f>
        <v>0.83881166509784877</v>
      </c>
      <c r="H37" s="58">
        <f t="shared" si="1"/>
        <v>7.3756166002561643E-2</v>
      </c>
    </row>
    <row r="38" spans="1:8" s="4" customFormat="1" ht="25.5">
      <c r="A38" s="50">
        <v>26</v>
      </c>
      <c r="B38" s="54" t="s">
        <v>59</v>
      </c>
      <c r="C38" s="66">
        <v>660.49994279999999</v>
      </c>
      <c r="D38" s="66">
        <v>401.33299886128265</v>
      </c>
      <c r="E38" s="66">
        <v>4418.1745086751889</v>
      </c>
      <c r="F38" s="66">
        <v>3218.5647013587723</v>
      </c>
      <c r="G38" s="55">
        <f t="shared" ref="G38:G45" si="4">E38/$E$50</f>
        <v>1.7676589932843927E-2</v>
      </c>
      <c r="H38" s="55">
        <f t="shared" si="1"/>
        <v>0.37271576576042759</v>
      </c>
    </row>
    <row r="39" spans="1:8" s="4" customFormat="1" ht="25.5">
      <c r="A39" s="50">
        <v>27</v>
      </c>
      <c r="B39" s="54" t="s">
        <v>60</v>
      </c>
      <c r="C39" s="66">
        <v>878.97630717028096</v>
      </c>
      <c r="D39" s="66">
        <v>625.13999972454701</v>
      </c>
      <c r="E39" s="66">
        <v>6878.9161041855432</v>
      </c>
      <c r="F39" s="66">
        <v>5996.6725544399324</v>
      </c>
      <c r="G39" s="55">
        <f t="shared" si="4"/>
        <v>2.7521723942177473E-2</v>
      </c>
      <c r="H39" s="55">
        <f t="shared" si="1"/>
        <v>0.14712218179937112</v>
      </c>
    </row>
    <row r="40" spans="1:8" s="4" customFormat="1" ht="25.5">
      <c r="A40" s="50">
        <v>28</v>
      </c>
      <c r="B40" s="54" t="s">
        <v>61</v>
      </c>
      <c r="C40" s="66">
        <v>187.64492078583564</v>
      </c>
      <c r="D40" s="66">
        <v>128.59124873760015</v>
      </c>
      <c r="E40" s="66">
        <v>1545.418989266861</v>
      </c>
      <c r="F40" s="66">
        <v>1209.6817305748073</v>
      </c>
      <c r="G40" s="55">
        <f t="shared" si="4"/>
        <v>6.1830372915468628E-3</v>
      </c>
      <c r="H40" s="55">
        <f t="shared" si="1"/>
        <v>0.27754181137589029</v>
      </c>
    </row>
    <row r="41" spans="1:8" s="4" customFormat="1" ht="25.5">
      <c r="A41" s="50">
        <v>29</v>
      </c>
      <c r="B41" s="54" t="s">
        <v>62</v>
      </c>
      <c r="C41" s="66">
        <v>805.47391760847563</v>
      </c>
      <c r="D41" s="66">
        <v>527.34500665500002</v>
      </c>
      <c r="E41" s="66">
        <v>5706.2471967064293</v>
      </c>
      <c r="F41" s="66">
        <v>4683.5781306550007</v>
      </c>
      <c r="G41" s="55">
        <f t="shared" si="4"/>
        <v>2.2830015327272624E-2</v>
      </c>
      <c r="H41" s="55">
        <f t="shared" si="1"/>
        <v>0.21835208840818632</v>
      </c>
    </row>
    <row r="42" spans="1:8" s="4" customFormat="1" ht="25.5">
      <c r="A42" s="50"/>
      <c r="B42" s="54" t="s">
        <v>63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44">
        <v>0</v>
      </c>
    </row>
    <row r="43" spans="1:8" s="4" customFormat="1" ht="25.5">
      <c r="A43" s="50">
        <v>30</v>
      </c>
      <c r="B43" s="54" t="s">
        <v>64</v>
      </c>
      <c r="C43" s="66">
        <v>1712.1989433540984</v>
      </c>
      <c r="D43" s="66">
        <v>1384.6</v>
      </c>
      <c r="E43" s="66">
        <v>12638.520771682079</v>
      </c>
      <c r="F43" s="66">
        <v>11603.136336600001</v>
      </c>
      <c r="G43" s="55">
        <f t="shared" si="4"/>
        <v>5.0565216154339648E-2</v>
      </c>
      <c r="H43" s="55">
        <f t="shared" si="1"/>
        <v>8.9233152575838026E-2</v>
      </c>
    </row>
    <row r="44" spans="1:8" s="4" customFormat="1" ht="25.5">
      <c r="A44" s="50">
        <v>31</v>
      </c>
      <c r="B44" s="54" t="s">
        <v>89</v>
      </c>
      <c r="C44" s="66">
        <v>1.3885466</v>
      </c>
      <c r="D44" s="66">
        <v>0.27</v>
      </c>
      <c r="E44" s="66">
        <v>23.983176507450764</v>
      </c>
      <c r="F44" s="66">
        <v>0.65018189999999998</v>
      </c>
      <c r="G44" s="55">
        <f t="shared" si="4"/>
        <v>9.5953832420336851E-5</v>
      </c>
      <c r="H44" s="55">
        <f t="shared" si="1"/>
        <v>35.886871977596982</v>
      </c>
    </row>
    <row r="45" spans="1:8" s="4" customFormat="1" ht="25.5">
      <c r="A45" s="50">
        <v>32</v>
      </c>
      <c r="B45" s="54" t="s">
        <v>91</v>
      </c>
      <c r="C45" s="66">
        <v>13.918111516280797</v>
      </c>
      <c r="D45" s="66">
        <v>1.6528426421186437</v>
      </c>
      <c r="E45" s="66">
        <v>75.835264097162138</v>
      </c>
      <c r="F45" s="66">
        <v>2.3800185698644065</v>
      </c>
      <c r="G45" s="55">
        <f t="shared" si="4"/>
        <v>3.0340785844070584E-4</v>
      </c>
      <c r="H45" s="44">
        <v>0</v>
      </c>
    </row>
    <row r="46" spans="1:8" s="4" customFormat="1" ht="25.5">
      <c r="A46" s="50"/>
      <c r="B46" s="56" t="s">
        <v>65</v>
      </c>
      <c r="C46" s="49">
        <f>SUM(C38:C45)</f>
        <v>4260.1006898349724</v>
      </c>
      <c r="D46" s="49">
        <f>SUM(D38:D45)</f>
        <v>3068.9320966205482</v>
      </c>
      <c r="E46" s="49">
        <f>SUM(E38:E45)</f>
        <v>31287.096011120717</v>
      </c>
      <c r="F46" s="49">
        <f>SUM(F38:F45)</f>
        <v>26714.663654098378</v>
      </c>
      <c r="G46" s="57">
        <f t="shared" ref="G46" si="5">E46/$E$99</f>
        <v>0.12517594433904158</v>
      </c>
      <c r="H46" s="58">
        <f t="shared" si="1"/>
        <v>0.171158148057794</v>
      </c>
    </row>
    <row r="47" spans="1:8" s="4" customFormat="1" ht="25.5">
      <c r="A47" s="50">
        <v>33</v>
      </c>
      <c r="B47" s="54" t="s">
        <v>66</v>
      </c>
      <c r="C47" s="66">
        <v>306.26462069299885</v>
      </c>
      <c r="D47" s="66">
        <v>1142.9011040381672</v>
      </c>
      <c r="E47" s="66">
        <v>7977.065406696971</v>
      </c>
      <c r="F47" s="66">
        <v>7222.2284401114666</v>
      </c>
      <c r="G47" s="55">
        <f>E47/$E$50</f>
        <v>3.1915288494102273E-2</v>
      </c>
      <c r="H47" s="55">
        <f t="shared" ref="H47:H50" si="6">((E47-F47)/F47)</f>
        <v>0.10451579769939461</v>
      </c>
    </row>
    <row r="48" spans="1:8" s="4" customFormat="1" ht="25.5">
      <c r="A48" s="50">
        <v>34</v>
      </c>
      <c r="B48" s="54" t="s">
        <v>67</v>
      </c>
      <c r="C48" s="66">
        <v>132.68</v>
      </c>
      <c r="D48" s="66">
        <v>126.67</v>
      </c>
      <c r="E48" s="66">
        <v>1024.05</v>
      </c>
      <c r="F48" s="66">
        <v>956.4899999999999</v>
      </c>
      <c r="G48" s="55">
        <f>E48/$E$50</f>
        <v>4.0971020690073892E-3</v>
      </c>
      <c r="H48" s="55">
        <f t="shared" si="6"/>
        <v>7.0633252830662172E-2</v>
      </c>
    </row>
    <row r="49" spans="1:8" s="4" customFormat="1" ht="26.25">
      <c r="A49" s="59"/>
      <c r="B49" s="56" t="s">
        <v>68</v>
      </c>
      <c r="C49" s="51">
        <f>SUM(C47:C48)</f>
        <v>438.94462069299885</v>
      </c>
      <c r="D49" s="51">
        <f t="shared" ref="D49:F49" si="7">SUM(D47:D48)</f>
        <v>1269.5711040381673</v>
      </c>
      <c r="E49" s="51">
        <f t="shared" si="7"/>
        <v>9001.1154066969702</v>
      </c>
      <c r="F49" s="51">
        <f t="shared" si="7"/>
        <v>8178.7184401114664</v>
      </c>
      <c r="G49" s="57">
        <f>E49/$E$99</f>
        <v>3.6012390563109661E-2</v>
      </c>
      <c r="H49" s="57">
        <f t="shared" si="6"/>
        <v>0.10055328015110097</v>
      </c>
    </row>
    <row r="50" spans="1:8" s="4" customFormat="1" ht="26.25">
      <c r="A50" s="59"/>
      <c r="B50" s="56" t="s">
        <v>69</v>
      </c>
      <c r="C50" s="53">
        <f>(C37+C46+C49)</f>
        <v>28437.823960467442</v>
      </c>
      <c r="D50" s="53">
        <f t="shared" ref="D50:F50" si="8">(D37+D46+D49)</f>
        <v>25017.917354402165</v>
      </c>
      <c r="E50" s="53">
        <f t="shared" si="8"/>
        <v>249944.95688707553</v>
      </c>
      <c r="F50" s="53">
        <f t="shared" si="8"/>
        <v>230148.83403706524</v>
      </c>
      <c r="G50" s="57">
        <f>E50/$E$99</f>
        <v>1</v>
      </c>
      <c r="H50" s="57">
        <f t="shared" si="6"/>
        <v>8.6014439016545888E-2</v>
      </c>
    </row>
    <row r="51" spans="1:8" s="6" customFormat="1" ht="20.100000000000001" customHeight="1">
      <c r="A51" s="67" t="s">
        <v>70</v>
      </c>
      <c r="B51" s="67"/>
      <c r="C51" s="67"/>
      <c r="D51" s="67"/>
      <c r="E51" s="28"/>
      <c r="F51" s="28"/>
      <c r="G51" s="29"/>
      <c r="H51" s="30"/>
    </row>
    <row r="52" spans="1:8" s="6" customFormat="1" ht="20.100000000000001" customHeight="1">
      <c r="A52" s="68" t="s">
        <v>71</v>
      </c>
      <c r="B52" s="68"/>
      <c r="C52" s="68"/>
      <c r="D52" s="68"/>
      <c r="E52" s="68"/>
      <c r="F52" s="68"/>
      <c r="G52" s="68"/>
      <c r="H52" s="68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9" t="s">
        <v>72</v>
      </c>
      <c r="B54" s="69"/>
      <c r="C54" s="69"/>
      <c r="D54" s="69"/>
      <c r="E54" s="69"/>
      <c r="F54" s="69"/>
      <c r="G54" s="69"/>
      <c r="H54" s="69"/>
    </row>
    <row r="55" spans="1:8" s="2" customFormat="1" ht="38.1" customHeight="1">
      <c r="A55" s="70" t="s">
        <v>87</v>
      </c>
      <c r="B55" s="70"/>
      <c r="C55" s="70"/>
      <c r="D55" s="70"/>
      <c r="E55" s="70"/>
      <c r="F55" s="70"/>
      <c r="G55" s="70"/>
      <c r="H55" s="70"/>
    </row>
    <row r="56" spans="1:8" s="2" customFormat="1" ht="38.1" customHeight="1">
      <c r="A56" s="71" t="s">
        <v>102</v>
      </c>
      <c r="B56" s="71"/>
      <c r="C56" s="71"/>
      <c r="D56" s="71"/>
      <c r="E56" s="71"/>
      <c r="F56" s="71"/>
      <c r="G56" s="71"/>
      <c r="H56" s="71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0" t="s">
        <v>73</v>
      </c>
      <c r="D58" s="80"/>
      <c r="E58" s="80"/>
      <c r="F58" s="80"/>
      <c r="G58" s="81" t="s">
        <v>105</v>
      </c>
      <c r="H58" s="81" t="s">
        <v>74</v>
      </c>
    </row>
    <row r="59" spans="1:8" s="4" customFormat="1" ht="33" customHeight="1">
      <c r="A59" s="82" t="s">
        <v>75</v>
      </c>
      <c r="B59" s="83" t="s">
        <v>76</v>
      </c>
      <c r="C59" s="84" t="s">
        <v>103</v>
      </c>
      <c r="D59" s="84"/>
      <c r="E59" s="84" t="s">
        <v>104</v>
      </c>
      <c r="F59" s="84"/>
      <c r="G59" s="81"/>
      <c r="H59" s="81"/>
    </row>
    <row r="60" spans="1:8" s="36" customFormat="1" ht="70.5" customHeight="1">
      <c r="A60" s="82" t="s">
        <v>75</v>
      </c>
      <c r="B60" s="83"/>
      <c r="C60" s="35" t="s">
        <v>94</v>
      </c>
      <c r="D60" s="35" t="s">
        <v>0</v>
      </c>
      <c r="E60" s="60" t="s">
        <v>94</v>
      </c>
      <c r="F60" s="60" t="s">
        <v>0</v>
      </c>
      <c r="G60" s="81"/>
      <c r="H60" s="81"/>
    </row>
    <row r="61" spans="1:8" s="4" customFormat="1" ht="24.75" customHeight="1">
      <c r="A61" s="42">
        <v>1</v>
      </c>
      <c r="B61" s="43" t="s">
        <v>20</v>
      </c>
      <c r="C61" s="66">
        <v>247.73</v>
      </c>
      <c r="D61" s="66">
        <v>172.66858430000002</v>
      </c>
      <c r="E61" s="66">
        <v>1888.6156820000001</v>
      </c>
      <c r="F61" s="66">
        <v>1555.955874697273</v>
      </c>
      <c r="G61" s="45">
        <f t="shared" ref="G61:G98" si="9">E61/$E$99</f>
        <v>7.5561263788701755E-3</v>
      </c>
      <c r="H61" s="45">
        <f t="shared" ref="H61:H85" si="10">((E61-F61)/F61)</f>
        <v>0.21379771284802629</v>
      </c>
    </row>
    <row r="62" spans="1:8" s="4" customFormat="1" ht="24.75" customHeight="1">
      <c r="A62" s="42">
        <v>2</v>
      </c>
      <c r="B62" s="43" t="s">
        <v>97</v>
      </c>
      <c r="C62" s="66">
        <v>1415.3010961000002</v>
      </c>
      <c r="D62" s="66">
        <v>1330.9104865000002</v>
      </c>
      <c r="E62" s="66">
        <v>18879.147510400002</v>
      </c>
      <c r="F62" s="66">
        <v>17112.454574100004</v>
      </c>
      <c r="G62" s="45">
        <f t="shared" si="9"/>
        <v>7.5533220375914811E-2</v>
      </c>
      <c r="H62" s="45">
        <f t="shared" si="10"/>
        <v>0.10324018267805475</v>
      </c>
    </row>
    <row r="63" spans="1:8" s="4" customFormat="1" ht="24.75" customHeight="1">
      <c r="A63" s="42">
        <v>3</v>
      </c>
      <c r="B63" s="43" t="s">
        <v>13</v>
      </c>
      <c r="C63" s="66">
        <v>650.75379162980198</v>
      </c>
      <c r="D63" s="66">
        <v>634.54632355391846</v>
      </c>
      <c r="E63" s="66">
        <v>5713.9299525859606</v>
      </c>
      <c r="F63" s="66">
        <v>6095.1599645707711</v>
      </c>
      <c r="G63" s="45">
        <f t="shared" si="9"/>
        <v>2.2860753118405581E-2</v>
      </c>
      <c r="H63" s="45">
        <f t="shared" si="10"/>
        <v>-6.2546350579932186E-2</v>
      </c>
    </row>
    <row r="64" spans="1:8" s="4" customFormat="1" ht="24.75" customHeight="1">
      <c r="A64" s="42">
        <v>4</v>
      </c>
      <c r="B64" s="43" t="s">
        <v>95</v>
      </c>
      <c r="C64" s="66">
        <v>311.43562565719992</v>
      </c>
      <c r="D64" s="66">
        <v>236.57430471155669</v>
      </c>
      <c r="E64" s="66">
        <v>3764.2876680266554</v>
      </c>
      <c r="F64" s="66">
        <v>3716.7566445511789</v>
      </c>
      <c r="G64" s="45">
        <f t="shared" si="9"/>
        <v>1.5060466571955483E-2</v>
      </c>
      <c r="H64" s="45">
        <f t="shared" si="10"/>
        <v>1.2788306585839499E-2</v>
      </c>
    </row>
    <row r="65" spans="1:10" s="4" customFormat="1" ht="24.75" customHeight="1">
      <c r="A65" s="42">
        <v>5</v>
      </c>
      <c r="B65" s="43" t="s">
        <v>11</v>
      </c>
      <c r="C65" s="66">
        <v>777.29757009999992</v>
      </c>
      <c r="D65" s="66">
        <v>636.14006534199996</v>
      </c>
      <c r="E65" s="66">
        <v>7443.9203260999993</v>
      </c>
      <c r="F65" s="66">
        <v>6491.1856846479996</v>
      </c>
      <c r="G65" s="45">
        <f t="shared" si="9"/>
        <v>2.978223853287483E-2</v>
      </c>
      <c r="H65" s="45">
        <f t="shared" si="10"/>
        <v>0.14677359233541384</v>
      </c>
    </row>
    <row r="66" spans="1:10" s="4" customFormat="1" ht="24.75" customHeight="1">
      <c r="A66" s="42">
        <v>6</v>
      </c>
      <c r="B66" s="43" t="s">
        <v>6</v>
      </c>
      <c r="C66" s="66">
        <v>1283.4204057948984</v>
      </c>
      <c r="D66" s="66">
        <v>945.45858361122566</v>
      </c>
      <c r="E66" s="66">
        <v>10980.216911810503</v>
      </c>
      <c r="F66" s="66">
        <v>12211.909957454096</v>
      </c>
      <c r="G66" s="45">
        <f t="shared" si="9"/>
        <v>4.3930539941925438E-2</v>
      </c>
      <c r="H66" s="45">
        <f t="shared" si="10"/>
        <v>-0.10085998422317002</v>
      </c>
    </row>
    <row r="67" spans="1:10" s="4" customFormat="1" ht="24.75" customHeight="1">
      <c r="A67" s="42">
        <v>7</v>
      </c>
      <c r="B67" s="43" t="s">
        <v>2</v>
      </c>
      <c r="C67" s="66">
        <v>2277.86</v>
      </c>
      <c r="D67" s="66">
        <v>1962.2</v>
      </c>
      <c r="E67" s="66">
        <v>21372.236367197991</v>
      </c>
      <c r="F67" s="66">
        <v>20622.820000000003</v>
      </c>
      <c r="G67" s="45">
        <f t="shared" si="9"/>
        <v>8.5507771924575815E-2</v>
      </c>
      <c r="H67" s="45">
        <f t="shared" si="10"/>
        <v>3.633917995686272E-2</v>
      </c>
    </row>
    <row r="68" spans="1:10" s="4" customFormat="1" ht="24.75" customHeight="1">
      <c r="A68" s="42">
        <v>8</v>
      </c>
      <c r="B68" s="43" t="s">
        <v>14</v>
      </c>
      <c r="C68" s="66">
        <v>774.19300396400001</v>
      </c>
      <c r="D68" s="66">
        <v>724.43887774399946</v>
      </c>
      <c r="E68" s="66">
        <v>6606.4873659397836</v>
      </c>
      <c r="F68" s="66">
        <v>6310.7497375279981</v>
      </c>
      <c r="G68" s="45">
        <f t="shared" si="9"/>
        <v>2.643176901114503E-2</v>
      </c>
      <c r="H68" s="45">
        <f t="shared" si="10"/>
        <v>4.6862518830865514E-2</v>
      </c>
    </row>
    <row r="69" spans="1:10" s="4" customFormat="1" ht="24.75" customHeight="1">
      <c r="A69" s="42">
        <v>9</v>
      </c>
      <c r="B69" s="43" t="s">
        <v>23</v>
      </c>
      <c r="C69" s="66">
        <v>3.3409102047817743</v>
      </c>
      <c r="D69" s="66">
        <v>5.3450975070000002</v>
      </c>
      <c r="E69" s="66">
        <v>527.89021645140849</v>
      </c>
      <c r="F69" s="66">
        <v>715.30995641100003</v>
      </c>
      <c r="G69" s="45">
        <f t="shared" si="9"/>
        <v>2.1120258757207407E-3</v>
      </c>
      <c r="H69" s="45">
        <f t="shared" si="10"/>
        <v>-0.26201192682952762</v>
      </c>
    </row>
    <row r="70" spans="1:10" s="4" customFormat="1" ht="24.75" customHeight="1">
      <c r="A70" s="42">
        <v>10</v>
      </c>
      <c r="B70" s="43" t="s">
        <v>19</v>
      </c>
      <c r="C70" s="66">
        <v>210.63867555230237</v>
      </c>
      <c r="D70" s="66">
        <v>153.25655569522013</v>
      </c>
      <c r="E70" s="66">
        <v>2071.8758027092772</v>
      </c>
      <c r="F70" s="66">
        <v>1701.176660915087</v>
      </c>
      <c r="G70" s="45">
        <f t="shared" si="9"/>
        <v>8.2893282925702132E-3</v>
      </c>
      <c r="H70" s="45">
        <f t="shared" si="10"/>
        <v>0.21790749327279499</v>
      </c>
    </row>
    <row r="71" spans="1:10" s="4" customFormat="1" ht="24.75" customHeight="1">
      <c r="A71" s="42">
        <v>11</v>
      </c>
      <c r="B71" s="43" t="s">
        <v>92</v>
      </c>
      <c r="C71" s="66">
        <v>268.58766755900001</v>
      </c>
      <c r="D71" s="66">
        <v>215.73280720889548</v>
      </c>
      <c r="E71" s="66">
        <v>2517.234552536238</v>
      </c>
      <c r="F71" s="66">
        <v>2235.3250307289318</v>
      </c>
      <c r="G71" s="45">
        <f t="shared" si="9"/>
        <v>1.0071155601165092E-2</v>
      </c>
      <c r="H71" s="45">
        <f t="shared" si="10"/>
        <v>0.12611567352931063</v>
      </c>
    </row>
    <row r="72" spans="1:10" s="4" customFormat="1" ht="24.75" customHeight="1">
      <c r="A72" s="42">
        <v>12</v>
      </c>
      <c r="B72" s="43" t="s">
        <v>7</v>
      </c>
      <c r="C72" s="4">
        <v>1520.36</v>
      </c>
      <c r="D72" s="4">
        <v>1109.96</v>
      </c>
      <c r="E72" s="66">
        <v>13717.35</v>
      </c>
      <c r="F72" s="66">
        <v>12883.8</v>
      </c>
      <c r="G72" s="45">
        <f t="shared" si="9"/>
        <v>5.4881483390750961E-2</v>
      </c>
      <c r="H72" s="45">
        <f t="shared" si="10"/>
        <v>6.4697527127089927E-2</v>
      </c>
      <c r="J72" s="61"/>
    </row>
    <row r="73" spans="1:10" s="4" customFormat="1" ht="24.75" customHeight="1">
      <c r="A73" s="42">
        <v>13</v>
      </c>
      <c r="B73" s="43" t="s">
        <v>27</v>
      </c>
      <c r="C73" s="66">
        <v>13.835086865309689</v>
      </c>
      <c r="D73" s="66">
        <v>4.813704410999911</v>
      </c>
      <c r="E73" s="66">
        <v>83.203701757714668</v>
      </c>
      <c r="F73" s="66">
        <v>41.825338753507097</v>
      </c>
      <c r="G73" s="45">
        <f t="shared" si="9"/>
        <v>3.3288809981993708E-4</v>
      </c>
      <c r="H73" s="45">
        <f t="shared" si="10"/>
        <v>0.98931327844267503</v>
      </c>
    </row>
    <row r="74" spans="1:10" s="4" customFormat="1" ht="24.75" customHeight="1">
      <c r="A74" s="42">
        <v>14</v>
      </c>
      <c r="B74" s="43" t="s">
        <v>26</v>
      </c>
      <c r="C74" s="66">
        <v>38.428358929999831</v>
      </c>
      <c r="D74" s="66">
        <v>14.152437503999987</v>
      </c>
      <c r="E74" s="66">
        <v>186.472635605357</v>
      </c>
      <c r="F74" s="66">
        <v>311.43207155450455</v>
      </c>
      <c r="G74" s="45">
        <f t="shared" si="9"/>
        <v>7.4605480313653558E-4</v>
      </c>
      <c r="H74" s="45">
        <f t="shared" si="10"/>
        <v>-0.40124138572310808</v>
      </c>
    </row>
    <row r="75" spans="1:10" s="4" customFormat="1" ht="24.75" customHeight="1">
      <c r="A75" s="42">
        <v>15</v>
      </c>
      <c r="B75" s="43" t="s">
        <v>9</v>
      </c>
      <c r="C75" s="66">
        <v>854.65372221458892</v>
      </c>
      <c r="D75" s="66">
        <v>1004.814926625933</v>
      </c>
      <c r="E75" s="66">
        <v>9764.1511012940191</v>
      </c>
      <c r="F75" s="66">
        <v>10274.947356839357</v>
      </c>
      <c r="G75" s="45">
        <f t="shared" si="9"/>
        <v>3.9065205487244285E-2</v>
      </c>
      <c r="H75" s="45">
        <f t="shared" si="10"/>
        <v>-4.9712785652895275E-2</v>
      </c>
    </row>
    <row r="76" spans="1:10" s="4" customFormat="1" ht="24.75" customHeight="1">
      <c r="A76" s="42">
        <v>16</v>
      </c>
      <c r="B76" s="43" t="s">
        <v>17</v>
      </c>
      <c r="C76" s="66">
        <v>325.08134899899323</v>
      </c>
      <c r="D76" s="66">
        <v>287.44185115325331</v>
      </c>
      <c r="E76" s="66">
        <v>3178.0084662637455</v>
      </c>
      <c r="F76" s="66">
        <v>2818.1187796723507</v>
      </c>
      <c r="G76" s="45">
        <f t="shared" si="9"/>
        <v>1.2714833321080215E-2</v>
      </c>
      <c r="H76" s="45">
        <f t="shared" si="10"/>
        <v>0.12770564860053113</v>
      </c>
    </row>
    <row r="77" spans="1:10" s="4" customFormat="1" ht="24.75" customHeight="1">
      <c r="A77" s="42">
        <v>17</v>
      </c>
      <c r="B77" s="43" t="s">
        <v>10</v>
      </c>
      <c r="C77" s="66">
        <v>1259.2049248771996</v>
      </c>
      <c r="D77" s="66">
        <v>1018.8326277363637</v>
      </c>
      <c r="E77" s="66">
        <v>10768.589783432195</v>
      </c>
      <c r="F77" s="66">
        <v>9404.3714578694435</v>
      </c>
      <c r="G77" s="45">
        <f t="shared" si="9"/>
        <v>4.3083845009513094E-2</v>
      </c>
      <c r="H77" s="45">
        <f t="shared" si="10"/>
        <v>0.14506214813762947</v>
      </c>
    </row>
    <row r="78" spans="1:10" s="4" customFormat="1" ht="24.75" customHeight="1">
      <c r="A78" s="42">
        <v>18</v>
      </c>
      <c r="B78" s="43" t="s">
        <v>18</v>
      </c>
      <c r="C78" s="66">
        <v>421.96523691499999</v>
      </c>
      <c r="D78" s="66">
        <v>351.86627082400003</v>
      </c>
      <c r="E78" s="66">
        <v>3303.850332298</v>
      </c>
      <c r="F78" s="66">
        <v>2654.2772806120001</v>
      </c>
      <c r="G78" s="45">
        <f t="shared" si="9"/>
        <v>1.3218311637272485E-2</v>
      </c>
      <c r="H78" s="45">
        <f t="shared" si="10"/>
        <v>0.24472690039988096</v>
      </c>
    </row>
    <row r="79" spans="1:10" s="4" customFormat="1" ht="24.75" customHeight="1">
      <c r="A79" s="63">
        <v>19</v>
      </c>
      <c r="B79" s="64" t="s">
        <v>5</v>
      </c>
      <c r="C79" s="66">
        <v>1684.8664245739999</v>
      </c>
      <c r="D79" s="66">
        <v>1506.9480608928679</v>
      </c>
      <c r="E79" s="66">
        <v>14984.86622145569</v>
      </c>
      <c r="F79" s="66">
        <v>13246.780236201392</v>
      </c>
      <c r="G79" s="65">
        <f t="shared" si="9"/>
        <v>5.9952664811020025E-2</v>
      </c>
      <c r="H79" s="65">
        <f t="shared" si="10"/>
        <v>0.13120818449938343</v>
      </c>
    </row>
    <row r="80" spans="1:10" s="4" customFormat="1" ht="24.75" customHeight="1">
      <c r="A80" s="63">
        <v>20</v>
      </c>
      <c r="B80" s="64" t="s">
        <v>1</v>
      </c>
      <c r="C80" s="66">
        <v>5071.6157963000005</v>
      </c>
      <c r="D80" s="66">
        <v>4348.249186099998</v>
      </c>
      <c r="E80" s="66">
        <v>33505.896467800005</v>
      </c>
      <c r="F80" s="66">
        <v>29452.902314799998</v>
      </c>
      <c r="G80" s="65">
        <f t="shared" si="9"/>
        <v>0.13405310067103246</v>
      </c>
      <c r="H80" s="65">
        <f t="shared" si="10"/>
        <v>0.13760932996281963</v>
      </c>
    </row>
    <row r="81" spans="1:10" s="4" customFormat="1" ht="24.75" customHeight="1">
      <c r="A81" s="63">
        <v>21</v>
      </c>
      <c r="B81" s="64" t="s">
        <v>4</v>
      </c>
      <c r="C81" s="66">
        <v>2067.85</v>
      </c>
      <c r="D81" s="66">
        <v>1923.74</v>
      </c>
      <c r="E81" s="66">
        <v>16235.4455</v>
      </c>
      <c r="F81" s="66">
        <v>14934.779900000001</v>
      </c>
      <c r="G81" s="65">
        <f t="shared" si="9"/>
        <v>6.4956083540165729E-2</v>
      </c>
      <c r="H81" s="65">
        <f t="shared" si="10"/>
        <v>8.7089706625003455E-2</v>
      </c>
      <c r="J81" s="61"/>
    </row>
    <row r="82" spans="1:10" s="4" customFormat="1" ht="24.75" customHeight="1">
      <c r="A82" s="63">
        <v>22</v>
      </c>
      <c r="B82" s="64" t="s">
        <v>3</v>
      </c>
      <c r="C82" s="66">
        <v>1457.54</v>
      </c>
      <c r="D82" s="66">
        <v>1438.14</v>
      </c>
      <c r="E82" s="66">
        <v>15339.970000000001</v>
      </c>
      <c r="F82" s="66">
        <v>14304.69</v>
      </c>
      <c r="G82" s="65">
        <f t="shared" si="9"/>
        <v>6.1373392730346463E-2</v>
      </c>
      <c r="H82" s="65">
        <f t="shared" si="10"/>
        <v>7.2373466324680974E-2</v>
      </c>
    </row>
    <row r="83" spans="1:10" s="4" customFormat="1" ht="24.75" customHeight="1">
      <c r="A83" s="63">
        <v>23</v>
      </c>
      <c r="B83" s="64" t="s">
        <v>15</v>
      </c>
      <c r="C83" s="66">
        <v>504.43332516937306</v>
      </c>
      <c r="D83" s="66">
        <v>395.96763613367602</v>
      </c>
      <c r="E83" s="66">
        <v>4435.850782299015</v>
      </c>
      <c r="F83" s="66">
        <v>4021.5390400749893</v>
      </c>
      <c r="G83" s="65">
        <f t="shared" si="9"/>
        <v>1.7747310598081482E-2</v>
      </c>
      <c r="H83" s="65">
        <f t="shared" si="10"/>
        <v>0.10302318045289946</v>
      </c>
    </row>
    <row r="84" spans="1:10" s="4" customFormat="1" ht="24.75" customHeight="1">
      <c r="A84" s="42">
        <v>24</v>
      </c>
      <c r="B84" s="43" t="s">
        <v>24</v>
      </c>
      <c r="C84" s="66">
        <v>130.56</v>
      </c>
      <c r="D84" s="66">
        <v>95.96</v>
      </c>
      <c r="E84" s="66">
        <v>856.82999999999993</v>
      </c>
      <c r="F84" s="66">
        <v>736.58999999999992</v>
      </c>
      <c r="G84" s="45">
        <f t="shared" si="9"/>
        <v>3.4280747676261915E-3</v>
      </c>
      <c r="H84" s="45">
        <f t="shared" si="10"/>
        <v>0.16323870810084309</v>
      </c>
    </row>
    <row r="85" spans="1:10" s="4" customFormat="1" ht="24.75" customHeight="1">
      <c r="A85" s="42">
        <v>25</v>
      </c>
      <c r="B85" s="43" t="s">
        <v>85</v>
      </c>
      <c r="C85" s="66">
        <v>167.82567853301526</v>
      </c>
      <c r="D85" s="66">
        <v>161.25576618853847</v>
      </c>
      <c r="E85" s="66">
        <v>1530.4181212942883</v>
      </c>
      <c r="F85" s="66">
        <v>1400.5940808735436</v>
      </c>
      <c r="G85" s="45">
        <f t="shared" si="9"/>
        <v>6.1230206056356925E-3</v>
      </c>
      <c r="H85" s="45">
        <f t="shared" si="10"/>
        <v>9.2692124144758706E-2</v>
      </c>
    </row>
    <row r="86" spans="1:10" s="4" customFormat="1" ht="24.75" customHeight="1">
      <c r="A86" s="42"/>
      <c r="B86" s="46" t="s">
        <v>77</v>
      </c>
      <c r="C86" s="47">
        <f>SUM(C61:C85)</f>
        <v>23738.778649939468</v>
      </c>
      <c r="D86" s="47">
        <f>SUM(D61:D85)</f>
        <v>20679.414153743448</v>
      </c>
      <c r="E86" s="47">
        <f>SUM(E61:E85)</f>
        <v>209656.74546925785</v>
      </c>
      <c r="F86" s="47">
        <f>SUM(F61:F85)</f>
        <v>195255.4519428554</v>
      </c>
      <c r="G86" s="48">
        <f t="shared" si="9"/>
        <v>0.83881166509784877</v>
      </c>
      <c r="H86" s="48">
        <f t="shared" ref="H86" si="11">((E86-F86)/F86)</f>
        <v>7.3756166002561643E-2</v>
      </c>
    </row>
    <row r="87" spans="1:10" s="4" customFormat="1" ht="24.75" customHeight="1">
      <c r="A87" s="42">
        <v>26</v>
      </c>
      <c r="B87" s="43" t="s">
        <v>16</v>
      </c>
      <c r="C87" s="66">
        <v>660.49994279999999</v>
      </c>
      <c r="D87" s="66">
        <v>401.33299886128265</v>
      </c>
      <c r="E87" s="66">
        <v>4418.1745086751889</v>
      </c>
      <c r="F87" s="66">
        <v>3218.5647013587723</v>
      </c>
      <c r="G87" s="45">
        <f t="shared" si="9"/>
        <v>1.7676589932843927E-2</v>
      </c>
      <c r="H87" s="45">
        <f>((E87-F87)/F87)</f>
        <v>0.37271576576042759</v>
      </c>
    </row>
    <row r="88" spans="1:10" s="5" customFormat="1" ht="24.75" customHeight="1">
      <c r="A88" s="42">
        <v>27</v>
      </c>
      <c r="B88" s="43" t="s">
        <v>12</v>
      </c>
      <c r="C88" s="66">
        <v>878.97630717028096</v>
      </c>
      <c r="D88" s="66">
        <v>625.13999972454701</v>
      </c>
      <c r="E88" s="66">
        <v>6878.9161041855432</v>
      </c>
      <c r="F88" s="66">
        <v>5996.6725544399324</v>
      </c>
      <c r="G88" s="45">
        <f t="shared" si="9"/>
        <v>2.7521723942177473E-2</v>
      </c>
      <c r="H88" s="45">
        <f t="shared" ref="H88:H93" si="12">((E88-F88)/F88)</f>
        <v>0.14712218179937112</v>
      </c>
    </row>
    <row r="89" spans="1:10" s="4" customFormat="1" ht="24.75" customHeight="1">
      <c r="A89" s="42">
        <v>28</v>
      </c>
      <c r="B89" s="43" t="s">
        <v>21</v>
      </c>
      <c r="C89" s="66">
        <v>187.64492078583564</v>
      </c>
      <c r="D89" s="66">
        <v>128.59124873760015</v>
      </c>
      <c r="E89" s="66">
        <v>1545.418989266861</v>
      </c>
      <c r="F89" s="66">
        <v>1209.6817305748073</v>
      </c>
      <c r="G89" s="45">
        <f t="shared" si="9"/>
        <v>6.1830372915468628E-3</v>
      </c>
      <c r="H89" s="45">
        <f t="shared" si="12"/>
        <v>0.27754181137589029</v>
      </c>
    </row>
    <row r="90" spans="1:10" s="4" customFormat="1" ht="24.75" customHeight="1">
      <c r="A90" s="42">
        <v>29</v>
      </c>
      <c r="B90" s="43" t="s">
        <v>78</v>
      </c>
      <c r="C90" s="66">
        <v>805.47391760847563</v>
      </c>
      <c r="D90" s="66">
        <v>527.34500665500002</v>
      </c>
      <c r="E90" s="66">
        <v>5706.2471967064293</v>
      </c>
      <c r="F90" s="66">
        <v>4683.5781306550007</v>
      </c>
      <c r="G90" s="45">
        <f t="shared" si="9"/>
        <v>2.2830015327272624E-2</v>
      </c>
      <c r="H90" s="45">
        <f t="shared" si="12"/>
        <v>0.21835208840818632</v>
      </c>
    </row>
    <row r="91" spans="1:10" s="4" customFormat="1" ht="24.75" customHeight="1">
      <c r="A91" s="42"/>
      <c r="B91" s="43" t="s">
        <v>79</v>
      </c>
      <c r="C91" s="66">
        <v>0</v>
      </c>
      <c r="D91" s="66">
        <v>0</v>
      </c>
      <c r="E91" s="66">
        <v>0</v>
      </c>
      <c r="F91" s="66">
        <v>0</v>
      </c>
      <c r="G91" s="66">
        <v>0</v>
      </c>
      <c r="H91" s="44">
        <v>0</v>
      </c>
    </row>
    <row r="92" spans="1:10" s="4" customFormat="1" ht="24.75" customHeight="1">
      <c r="A92" s="42">
        <v>30</v>
      </c>
      <c r="B92" s="43" t="s">
        <v>8</v>
      </c>
      <c r="C92" s="66">
        <v>1712.1989433540984</v>
      </c>
      <c r="D92" s="66">
        <v>1384.6</v>
      </c>
      <c r="E92" s="66">
        <v>12638.520771682079</v>
      </c>
      <c r="F92" s="66">
        <v>11603.136336600001</v>
      </c>
      <c r="G92" s="45">
        <f t="shared" si="9"/>
        <v>5.0565216154339648E-2</v>
      </c>
      <c r="H92" s="45">
        <f t="shared" si="12"/>
        <v>8.9233152575838026E-2</v>
      </c>
    </row>
    <row r="93" spans="1:10" s="4" customFormat="1" ht="24.75" customHeight="1">
      <c r="A93" s="42">
        <v>31</v>
      </c>
      <c r="B93" s="43" t="s">
        <v>88</v>
      </c>
      <c r="C93" s="66">
        <v>1.3885466</v>
      </c>
      <c r="D93" s="66">
        <v>0.27</v>
      </c>
      <c r="E93" s="66">
        <v>23.983176507450764</v>
      </c>
      <c r="F93" s="66">
        <v>0.65018189999999998</v>
      </c>
      <c r="G93" s="45">
        <f t="shared" si="9"/>
        <v>9.5953832420336851E-5</v>
      </c>
      <c r="H93" s="45">
        <f t="shared" si="12"/>
        <v>35.886871977596982</v>
      </c>
    </row>
    <row r="94" spans="1:10" s="4" customFormat="1" ht="24.75" customHeight="1">
      <c r="A94" s="42">
        <v>32</v>
      </c>
      <c r="B94" s="43" t="s">
        <v>90</v>
      </c>
      <c r="C94" s="66">
        <v>13.918111516280797</v>
      </c>
      <c r="D94" s="66">
        <v>1.6528426421186437</v>
      </c>
      <c r="E94" s="66">
        <v>75.835264097162138</v>
      </c>
      <c r="F94" s="66">
        <v>2.3800185698644065</v>
      </c>
      <c r="G94" s="45">
        <f t="shared" si="9"/>
        <v>3.0340785844070584E-4</v>
      </c>
      <c r="H94" s="44">
        <v>0</v>
      </c>
    </row>
    <row r="95" spans="1:10" s="4" customFormat="1" ht="24.75" customHeight="1">
      <c r="A95" s="42"/>
      <c r="B95" s="46" t="s">
        <v>80</v>
      </c>
      <c r="C95" s="49">
        <f>SUM(C87:C94)</f>
        <v>4260.1006898349724</v>
      </c>
      <c r="D95" s="49">
        <f>SUM(D87:D94)</f>
        <v>3068.9320966205482</v>
      </c>
      <c r="E95" s="49">
        <f>SUM(E87:E94)</f>
        <v>31287.096011120717</v>
      </c>
      <c r="F95" s="49">
        <f>SUM(F87:F94)</f>
        <v>26714.663654098378</v>
      </c>
      <c r="G95" s="48">
        <f t="shared" si="9"/>
        <v>0.12517594433904158</v>
      </c>
      <c r="H95" s="48">
        <f t="shared" ref="H95:H99" si="13">((E95-F95)/F95)</f>
        <v>0.171158148057794</v>
      </c>
    </row>
    <row r="96" spans="1:10" s="4" customFormat="1" ht="24.75" customHeight="1">
      <c r="A96" s="50">
        <v>33</v>
      </c>
      <c r="B96" s="43" t="s">
        <v>25</v>
      </c>
      <c r="C96" s="66">
        <v>306.26462069299885</v>
      </c>
      <c r="D96" s="66">
        <v>1142.9011040381672</v>
      </c>
      <c r="E96" s="66">
        <v>7977.065406696971</v>
      </c>
      <c r="F96" s="66">
        <v>7222.2284401114666</v>
      </c>
      <c r="G96" s="45">
        <f t="shared" si="9"/>
        <v>3.1915288494102273E-2</v>
      </c>
      <c r="H96" s="45">
        <f t="shared" si="13"/>
        <v>0.10451579769939461</v>
      </c>
    </row>
    <row r="97" spans="1:8" s="4" customFormat="1" ht="24.75" customHeight="1">
      <c r="A97" s="50">
        <v>34</v>
      </c>
      <c r="B97" s="43" t="s">
        <v>22</v>
      </c>
      <c r="C97" s="66">
        <v>132.68</v>
      </c>
      <c r="D97" s="66">
        <v>126.67</v>
      </c>
      <c r="E97" s="66">
        <v>1024.05</v>
      </c>
      <c r="F97" s="66">
        <v>956.4899999999999</v>
      </c>
      <c r="G97" s="45">
        <f t="shared" si="9"/>
        <v>4.0971020690073892E-3</v>
      </c>
      <c r="H97" s="45">
        <f t="shared" si="13"/>
        <v>7.0633252830662172E-2</v>
      </c>
    </row>
    <row r="98" spans="1:8" s="4" customFormat="1" ht="26.25">
      <c r="A98" s="42"/>
      <c r="B98" s="46" t="s">
        <v>81</v>
      </c>
      <c r="C98" s="51">
        <f>SUM(C96:C97)</f>
        <v>438.94462069299885</v>
      </c>
      <c r="D98" s="51">
        <f t="shared" ref="D98:F98" si="14">SUM(D96:D97)</f>
        <v>1269.5711040381673</v>
      </c>
      <c r="E98" s="51">
        <f t="shared" si="14"/>
        <v>9001.1154066969702</v>
      </c>
      <c r="F98" s="51">
        <f t="shared" si="14"/>
        <v>8178.7184401114664</v>
      </c>
      <c r="G98" s="48">
        <f t="shared" si="9"/>
        <v>3.6012390563109661E-2</v>
      </c>
      <c r="H98" s="48">
        <f t="shared" si="13"/>
        <v>0.10055328015110097</v>
      </c>
    </row>
    <row r="99" spans="1:8" s="4" customFormat="1" ht="26.25">
      <c r="A99" s="42"/>
      <c r="B99" s="52" t="s">
        <v>82</v>
      </c>
      <c r="C99" s="85">
        <f>(C86+C95+C98)</f>
        <v>28437.823960467442</v>
      </c>
      <c r="D99" s="85">
        <f>(D86+D95+D98)</f>
        <v>25017.917354402165</v>
      </c>
      <c r="E99" s="85">
        <f>(E86+E95+E98)</f>
        <v>249944.95688707553</v>
      </c>
      <c r="F99" s="85">
        <f>(F86+F95+F98)</f>
        <v>230148.83403706524</v>
      </c>
      <c r="G99" s="48">
        <f>E99/$E$99</f>
        <v>1</v>
      </c>
      <c r="H99" s="48">
        <f t="shared" si="13"/>
        <v>8.6014439016545888E-2</v>
      </c>
    </row>
    <row r="100" spans="1:8" s="6" customFormat="1" ht="15">
      <c r="A100" s="79" t="s">
        <v>83</v>
      </c>
      <c r="B100" s="79"/>
      <c r="C100" s="79"/>
      <c r="D100" s="79"/>
      <c r="E100" s="79"/>
      <c r="F100" s="79"/>
      <c r="G100" s="79"/>
      <c r="H100" s="79"/>
    </row>
    <row r="101" spans="1:8" s="6" customFormat="1" ht="15" customHeight="1">
      <c r="A101" s="79" t="s">
        <v>84</v>
      </c>
      <c r="B101" s="79"/>
      <c r="C101" s="79"/>
      <c r="D101" s="37"/>
      <c r="E101" s="37"/>
      <c r="F101" s="37"/>
      <c r="G101" s="37"/>
      <c r="H101" s="37"/>
    </row>
    <row r="102" spans="1:8" ht="15.75">
      <c r="A102" s="78"/>
      <c r="B102" s="78"/>
      <c r="C102" s="78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2025-11-10T06:33:19Z</cp:lastPrinted>
  <dcterms:created xsi:type="dcterms:W3CDTF">2024-07-04T10:52:00Z</dcterms:created>
  <dcterms:modified xsi:type="dcterms:W3CDTF">2026-01-16T09:52:39Z</dcterms:modified>
</cp:coreProperties>
</file>