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6.SEPTEMBER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C79" i="2"/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H98" i="2"/>
  <c r="H95" i="2"/>
  <c r="H86" i="2"/>
  <c r="G69" i="2" l="1"/>
  <c r="G99" i="2"/>
  <c r="G87" i="2"/>
  <c r="G94" i="2"/>
  <c r="G93" i="2"/>
  <c r="G82" i="2"/>
  <c r="G62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1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<sst xmlns="http://schemas.openxmlformats.org/spreadsheetml/2006/main" count="122" uniqueCount="106">
  <si>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</si>
  <si>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</si>
  <si>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</si>
  <si>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</si>
  <si>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</si>
  <si>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</si>
  <si>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</si>
  <si>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</si>
  <si>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</si>
  <si>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</si>
  <si>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</si>
  <si>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</si>
  <si>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</si>
  <si>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</si>
  <si>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</si>
  <si>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</si>
  <si>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</si>
  <si>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</si>
  <si>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</si>
  <si>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</si>
  <si>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</si>
  <si>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</si>
  <si>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</si>
  <si>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</si>
  <si>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</si>
  <si>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</si>
  <si>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</si>
  <si>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</si>
  <si>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</si>
  <si>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</si>
  <si>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</si>
  <si>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</si>
  <si>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</si>
  <si>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</si>
  <si>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</si>
  <si>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</si>
  <si>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</si>
  <si>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</si>
  <si>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</si>
  <si>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</si>
  <si>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</si>
  <si>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</si>
  <si>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</si>
  <si>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</si>
  <si>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</si>
  <si>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</si>
  <si>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</si>
  <si>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</si>
  <si>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</si>
  <si>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</si>
  <si>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</si>
  <si>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</si>
  <si>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</si>
  <si>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</si>
  <si>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</si>
  <si>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</si>
  <si>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</si>
  <si>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</si>
  <si>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</si>
  <si>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</si>
  <si>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</si>
  <si>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</si>
  <si>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</si>
  <si>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</si>
  <si>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</si>
  <si>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</si>
  <si>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</si>
  <si>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</si>
  <si>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</si>
  <si>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</si>
  <si>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</si>
  <si>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</si>
  <si>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</si>
  <si>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</si>
  <si>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</si>
  <si>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</si>
  <si>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</si>
  <si>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</si>
  <si>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</si>
  <si>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</si>
  <si>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</si>
  <si>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</si>
  <si>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</si>
  <si>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</si>
  <si>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</si>
  <si>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</si>
  <si>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</si>
  <si>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</si>
  <si>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</si>
  <si>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</si>
  <si>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</si>
  <si>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</si>
  <si>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</si>
  <si>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</si>
  <si>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</si>
  <si>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</si>
  <si>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</si>
  <si>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</si>
  <si>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सितम्बर , 2025 माह और तक के लिए सकल प्रत्यक्ष प्रीमियम अधिग्रहण</t>
  </si>
  <si>
    <t>सितम्बर  माह के लिए</t>
  </si>
  <si>
    <t>सितम्बर  माह तक</t>
  </si>
  <si>
    <t>सितम्बर , 2025 माह तक बाजार शेयर  (%)</t>
  </si>
  <si>
    <t>GROSS DIRECT PREMIUM UNDERWRITTEN FOR AND UPTO THE MONTH  OF SEPTEMBER, 2025</t>
  </si>
  <si>
    <t>Upto the Month of SEPTEMBER</t>
  </si>
  <si>
    <t>For the Month of September</t>
  </si>
  <si>
    <t>Market Share upto the Month of SEPTEMBER, 2025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</si>
</sst>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23" fillId="0" borderId="3" xfId="0" applyNumberFormat="1" applyFont="1" applyBorder="1" applyAlignment="1">
      <alignment horizontal="center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43" fontId="23" fillId="2" borderId="3" xfId="0" applyNumberFormat="1" applyFont="1" applyFill="1" applyBorder="1" applyAlignment="1">
      <alignment horizontal="center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10" fontId="23" fillId="2" borderId="3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43" fontId="28" fillId="2" borderId="3" xfId="0" applyNumberFormat="1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34" zoomScale="98" zoomScaleNormal="98" zoomScaleSheetLayoutView="98" workbookViewId="0">
      <selection activeCell="I46" sqref="I46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7.710937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0" t="s">
        <v>29</v>
      </c>
      <c r="B2" s="70"/>
      <c r="C2" s="70"/>
      <c r="D2" s="70"/>
      <c r="E2" s="70"/>
      <c r="F2" s="70"/>
      <c r="G2" s="70"/>
      <c r="H2" s="70"/>
    </row>
    <row r="3" spans="1:8" s="2" customFormat="1" ht="36" customHeight="1">
      <c r="A3" s="71" t="s">
        <v>30</v>
      </c>
      <c r="B3" s="71"/>
      <c r="C3" s="71"/>
      <c r="D3" s="71"/>
      <c r="E3" s="71"/>
      <c r="F3" s="71"/>
      <c r="G3" s="71"/>
      <c r="H3" s="71"/>
    </row>
    <row r="4" spans="1:8" s="2" customFormat="1" ht="36" customHeight="1">
      <c r="A4" s="72" t="s">
        <v>98</v>
      </c>
      <c r="B4" s="72"/>
      <c r="C4" s="72"/>
      <c r="D4" s="72"/>
      <c r="E4" s="72"/>
      <c r="F4" s="72"/>
      <c r="G4" s="72"/>
      <c r="H4" s="72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3" t="s">
        <v>31</v>
      </c>
      <c r="D6" s="73"/>
      <c r="E6" s="73"/>
      <c r="F6" s="73"/>
      <c r="G6" s="74" t="s">
        <v>101</v>
      </c>
      <c r="H6" s="74" t="s">
        <v>32</v>
      </c>
    </row>
    <row r="7" spans="1:8" s="4" customFormat="1" ht="11.25" customHeight="1">
      <c r="B7" s="20"/>
      <c r="C7" s="77" t="s">
        <v>33</v>
      </c>
      <c r="D7" s="77"/>
      <c r="E7" s="77"/>
      <c r="F7" s="77"/>
      <c r="G7" s="75"/>
      <c r="H7" s="75"/>
    </row>
    <row r="8" spans="1:8" s="22" customFormat="1" ht="32.25" customHeight="1">
      <c r="A8" s="38"/>
      <c r="B8" s="21"/>
      <c r="C8" s="78" t="s">
        <v>99</v>
      </c>
      <c r="D8" s="78"/>
      <c r="E8" s="78" t="s">
        <v>100</v>
      </c>
      <c r="F8" s="78"/>
      <c r="G8" s="75"/>
      <c r="H8" s="75"/>
    </row>
    <row r="9" spans="1:8" s="23" customFormat="1" ht="9" customHeight="1">
      <c r="A9" s="38"/>
      <c r="B9" s="21"/>
      <c r="C9" s="77" t="s">
        <v>34</v>
      </c>
      <c r="D9" s="77"/>
      <c r="E9" s="77" t="s">
        <v>33</v>
      </c>
      <c r="F9" s="77"/>
      <c r="G9" s="75"/>
      <c r="H9" s="75"/>
    </row>
    <row r="10" spans="1:8" s="24" customFormat="1" ht="47.25" customHeight="1">
      <c r="A10" s="41" t="s">
        <v>35</v>
      </c>
      <c r="B10" s="41" t="s">
        <v>36</v>
      </c>
      <c r="C10" s="63" t="s">
        <v>95</v>
      </c>
      <c r="D10" s="63" t="s">
        <v>0</v>
      </c>
      <c r="E10" s="63" t="s">
        <v>95</v>
      </c>
      <c r="F10" s="63" t="s">
        <v>0</v>
      </c>
      <c r="G10" s="76"/>
      <c r="H10" s="76"/>
    </row>
    <row r="11" spans="1:8" s="3" customFormat="1" ht="13.5" customHeight="1">
      <c r="A11" s="25" t="s">
        <v>33</v>
      </c>
      <c r="B11" s="25" t="s">
        <v>34</v>
      </c>
      <c r="C11" s="26" t="s">
        <v>34</v>
      </c>
      <c r="D11" s="26" t="s">
        <v>33</v>
      </c>
      <c r="E11" s="26" t="s">
        <v>33</v>
      </c>
      <c r="F11" s="26" t="s">
        <v>33</v>
      </c>
      <c r="G11" s="27" t="s">
        <v>33</v>
      </c>
      <c r="H11" s="27" t="s">
        <v>33</v>
      </c>
    </row>
    <row r="12" spans="1:8" s="4" customFormat="1" ht="25.5">
      <c r="A12" s="50">
        <v>1</v>
      </c>
      <c r="B12" s="54" t="s">
        <v>37</v>
      </c>
      <c r="C12" s="61">
        <v>226.87100000000001</v>
      </c>
      <c r="D12" s="61">
        <v>177.0925474</v>
      </c>
      <c r="E12" s="61">
        <v>1149.1246820000001</v>
      </c>
      <c r="F12" s="61">
        <v>1041.1699200999999</v>
      </c>
      <c r="G12" s="55">
        <f t="shared" ref="G12:G36" si="0">E12/$E$50</f>
        <v>6.9617163830110584E-3</v>
      </c>
      <c r="H12" s="55">
        <f>((E12-F12)/F12)</f>
        <v>0.10368601686997607</v>
      </c>
    </row>
    <row r="13" spans="1:8" s="4" customFormat="1" ht="25.5">
      <c r="A13" s="50">
        <v>2</v>
      </c>
      <c r="B13" s="54" t="s">
        <v>38</v>
      </c>
      <c r="C13" s="86">
        <v>2218.7659573999999</v>
      </c>
      <c r="D13" s="86">
        <v>1689.1713658000006</v>
      </c>
      <c r="E13" s="61">
        <v>11554.352707400001</v>
      </c>
      <c r="F13" s="61">
        <v>10557.155313800002</v>
      </c>
      <c r="G13" s="55">
        <f t="shared" si="0"/>
        <v>6.9999476817603296E-2</v>
      </c>
      <c r="H13" s="55">
        <f t="shared" ref="H13:H46" si="1">((E13-F13)/F13)</f>
        <v>9.4457016493495416E-2</v>
      </c>
    </row>
    <row r="14" spans="1:8" s="4" customFormat="1" ht="25.5">
      <c r="A14" s="50">
        <v>3</v>
      </c>
      <c r="B14" s="54" t="s">
        <v>39</v>
      </c>
      <c r="C14" s="86">
        <v>618.20406792043036</v>
      </c>
      <c r="D14" s="86">
        <v>757.44935009951098</v>
      </c>
      <c r="E14" s="61">
        <v>3647.4157529755857</v>
      </c>
      <c r="F14" s="61">
        <v>4092.0174087140313</v>
      </c>
      <c r="G14" s="55">
        <f t="shared" si="0"/>
        <v>2.2097057352339376E-2</v>
      </c>
      <c r="H14" s="55">
        <f t="shared" si="1"/>
        <v>-0.1086509687841644</v>
      </c>
    </row>
    <row r="15" spans="1:8" s="4" customFormat="1" ht="25.5">
      <c r="A15" s="50">
        <v>4</v>
      </c>
      <c r="B15" s="54" t="s">
        <v>97</v>
      </c>
      <c r="C15" s="86">
        <v>286.93308803391403</v>
      </c>
      <c r="D15" s="86">
        <v>301.85297473698381</v>
      </c>
      <c r="E15" s="61">
        <v>2492.9895431149835</v>
      </c>
      <c r="F15" s="61">
        <v>2714.9356206800385</v>
      </c>
      <c r="G15" s="55">
        <f t="shared" si="0"/>
        <v>1.510322284155657E-2</v>
      </c>
      <c r="H15" s="55">
        <f t="shared" si="1"/>
        <v>-8.1750033361550525E-2</v>
      </c>
    </row>
    <row r="16" spans="1:8" s="4" customFormat="1" ht="25.5">
      <c r="A16" s="50">
        <v>5</v>
      </c>
      <c r="B16" s="54" t="s">
        <v>40</v>
      </c>
      <c r="C16" s="86">
        <v>760.80510909999998</v>
      </c>
      <c r="D16" s="86">
        <v>694.367921346</v>
      </c>
      <c r="E16" s="61">
        <v>4886.5434735999997</v>
      </c>
      <c r="F16" s="61">
        <v>4376.6151885879999</v>
      </c>
      <c r="G16" s="55">
        <f t="shared" si="0"/>
        <v>2.9604037133071411E-2</v>
      </c>
      <c r="H16" s="55">
        <f t="shared" si="1"/>
        <v>0.11651202197114223</v>
      </c>
    </row>
    <row r="17" spans="1:8" s="4" customFormat="1" ht="25.5">
      <c r="A17" s="50">
        <v>6</v>
      </c>
      <c r="B17" s="54" t="s">
        <v>41</v>
      </c>
      <c r="C17" s="86">
        <v>1667.2409257223969</v>
      </c>
      <c r="D17" s="86">
        <v>1732.7546498419999</v>
      </c>
      <c r="E17" s="61">
        <v>7383.5210909015677</v>
      </c>
      <c r="F17" s="61">
        <v>8881.2936543720007</v>
      </c>
      <c r="G17" s="55">
        <f t="shared" si="0"/>
        <v>4.4731420835356417E-2</v>
      </c>
      <c r="H17" s="55">
        <f t="shared" si="1"/>
        <v>-0.16864351318156487</v>
      </c>
    </row>
    <row r="18" spans="1:8" s="4" customFormat="1" ht="25.5">
      <c r="A18" s="50">
        <v>7</v>
      </c>
      <c r="B18" s="54" t="s">
        <v>42</v>
      </c>
      <c r="C18" s="86">
        <v>1931.24</v>
      </c>
      <c r="D18" s="86">
        <v>1818.44</v>
      </c>
      <c r="E18" s="61">
        <v>14331.206367197992</v>
      </c>
      <c r="F18" s="61">
        <v>14408.810000000001</v>
      </c>
      <c r="G18" s="55">
        <f t="shared" si="0"/>
        <v>8.6822427294129464E-2</v>
      </c>
      <c r="H18" s="55">
        <f t="shared" si="1"/>
        <v>-5.3858460762553663E-3</v>
      </c>
    </row>
    <row r="19" spans="1:8" s="4" customFormat="1" ht="25.5">
      <c r="A19" s="50">
        <v>8</v>
      </c>
      <c r="B19" s="54" t="s">
        <v>43</v>
      </c>
      <c r="C19" s="86">
        <v>730.74230653061295</v>
      </c>
      <c r="D19" s="86">
        <v>688.01953178600002</v>
      </c>
      <c r="E19" s="61">
        <v>4373.8477627456132</v>
      </c>
      <c r="F19" s="61">
        <v>4030.4778914299995</v>
      </c>
      <c r="G19" s="55">
        <f t="shared" si="0"/>
        <v>2.6497984164526363E-2</v>
      </c>
      <c r="H19" s="55">
        <f t="shared" si="1"/>
        <v>8.5193339491011877E-2</v>
      </c>
    </row>
    <row r="20" spans="1:8" s="4" customFormat="1" ht="25.5">
      <c r="A20" s="50">
        <v>9</v>
      </c>
      <c r="B20" s="54" t="s">
        <v>44</v>
      </c>
      <c r="C20" s="86">
        <v>4.4000000000000004</v>
      </c>
      <c r="D20" s="86">
        <v>49.971992755999999</v>
      </c>
      <c r="E20" s="61">
        <v>297.51587991612848</v>
      </c>
      <c r="F20" s="61">
        <v>427.18207487900008</v>
      </c>
      <c r="G20" s="55">
        <f t="shared" si="0"/>
        <v>1.8024338071071578E-3</v>
      </c>
      <c r="H20" s="55">
        <f t="shared" si="1"/>
        <v>-0.30353847361128095</v>
      </c>
    </row>
    <row r="21" spans="1:8" s="4" customFormat="1" ht="25.5">
      <c r="A21" s="50">
        <v>10</v>
      </c>
      <c r="B21" s="54" t="s">
        <v>45</v>
      </c>
      <c r="C21" s="86">
        <v>224.6135557536179</v>
      </c>
      <c r="D21" s="86">
        <v>184.59023321999601</v>
      </c>
      <c r="E21" s="61">
        <v>1328.3232082155464</v>
      </c>
      <c r="F21" s="61">
        <v>1134.5428082599717</v>
      </c>
      <c r="G21" s="55">
        <f t="shared" si="0"/>
        <v>8.0473508100733469E-3</v>
      </c>
      <c r="H21" s="55">
        <f t="shared" si="1"/>
        <v>0.17080043039783777</v>
      </c>
    </row>
    <row r="22" spans="1:8" s="4" customFormat="1" ht="25.5">
      <c r="A22" s="50">
        <v>11</v>
      </c>
      <c r="B22" s="54" t="s">
        <v>94</v>
      </c>
      <c r="C22" s="86">
        <v>237.84250899780264</v>
      </c>
      <c r="D22" s="86">
        <v>206.7534872</v>
      </c>
      <c r="E22" s="61">
        <v>1662.6684068784605</v>
      </c>
      <c r="F22" s="61">
        <v>1506.7765301899999</v>
      </c>
      <c r="G22" s="55">
        <f t="shared" si="0"/>
        <v>1.0072906855968717E-2</v>
      </c>
      <c r="H22" s="55">
        <f t="shared" si="1"/>
        <v>0.10346051558740638</v>
      </c>
    </row>
    <row r="23" spans="1:8" s="4" customFormat="1" ht="25.5">
      <c r="A23" s="50">
        <v>12</v>
      </c>
      <c r="B23" s="54" t="s">
        <v>46</v>
      </c>
      <c r="C23" s="86">
        <v>1259.45</v>
      </c>
      <c r="D23" s="86">
        <v>1576.72</v>
      </c>
      <c r="E23" s="61">
        <v>8289.8700000000008</v>
      </c>
      <c r="F23" s="61">
        <v>7864.02</v>
      </c>
      <c r="G23" s="55">
        <f t="shared" si="0"/>
        <v>5.0222334178382809E-2</v>
      </c>
      <c r="H23" s="55">
        <f t="shared" si="1"/>
        <v>5.4151693408714667E-2</v>
      </c>
    </row>
    <row r="24" spans="1:8" s="4" customFormat="1" ht="25.5">
      <c r="A24" s="50">
        <v>13</v>
      </c>
      <c r="B24" s="54" t="s">
        <v>47</v>
      </c>
      <c r="C24" s="86">
        <v>6.4953458348923743</v>
      </c>
      <c r="D24" s="86">
        <v>4.8179753625252504</v>
      </c>
      <c r="E24" s="61">
        <v>55.088541623431148</v>
      </c>
      <c r="F24" s="61">
        <v>26.6532327364229</v>
      </c>
      <c r="G24" s="55">
        <f t="shared" si="0"/>
        <v>3.3374168072740703E-4</v>
      </c>
      <c r="H24" s="55">
        <f t="shared" si="1"/>
        <v>1.0668615386436804</v>
      </c>
    </row>
    <row r="25" spans="1:8" s="4" customFormat="1" ht="25.5">
      <c r="A25" s="50">
        <v>14</v>
      </c>
      <c r="B25" s="54" t="s">
        <v>48</v>
      </c>
      <c r="C25" s="86">
        <v>20.765071021547566</v>
      </c>
      <c r="D25" s="86">
        <v>40.020824329001179</v>
      </c>
      <c r="E25" s="61">
        <v>92.407305965166714</v>
      </c>
      <c r="F25" s="61">
        <v>244.56441688200414</v>
      </c>
      <c r="G25" s="55">
        <f t="shared" si="0"/>
        <v>5.5982911682652076E-4</v>
      </c>
      <c r="H25" s="55">
        <f t="shared" si="1"/>
        <v>-0.62215555662886646</v>
      </c>
    </row>
    <row r="26" spans="1:8" s="4" customFormat="1" ht="25.5">
      <c r="A26" s="50">
        <v>15</v>
      </c>
      <c r="B26" s="54" t="s">
        <v>49</v>
      </c>
      <c r="C26" s="86">
        <v>1719.7928487861363</v>
      </c>
      <c r="D26" s="86">
        <v>1962.3134611466533</v>
      </c>
      <c r="E26" s="61">
        <v>6949.7093732427538</v>
      </c>
      <c r="F26" s="61">
        <v>7279.8724669055755</v>
      </c>
      <c r="G26" s="55">
        <f t="shared" si="0"/>
        <v>4.2103269000073211E-2</v>
      </c>
      <c r="H26" s="55">
        <f t="shared" si="1"/>
        <v>-4.5352867809669566E-2</v>
      </c>
    </row>
    <row r="27" spans="1:8" s="4" customFormat="1" ht="25.5">
      <c r="A27" s="50">
        <v>16</v>
      </c>
      <c r="B27" s="54" t="s">
        <v>50</v>
      </c>
      <c r="C27" s="86">
        <v>311.07662381013694</v>
      </c>
      <c r="D27" s="86">
        <v>289.60543902592087</v>
      </c>
      <c r="E27" s="61">
        <v>2196.3899878798952</v>
      </c>
      <c r="F27" s="61">
        <v>1921.856986040822</v>
      </c>
      <c r="G27" s="55">
        <f t="shared" si="0"/>
        <v>1.3306340383788679E-2</v>
      </c>
      <c r="H27" s="55">
        <f t="shared" si="1"/>
        <v>0.14284777891024711</v>
      </c>
    </row>
    <row r="28" spans="1:8" s="4" customFormat="1" ht="25.5">
      <c r="A28" s="50">
        <v>17</v>
      </c>
      <c r="B28" s="54" t="s">
        <v>51</v>
      </c>
      <c r="C28" s="86">
        <v>1221.2627233976077</v>
      </c>
      <c r="D28" s="86">
        <v>1389.9514663068103</v>
      </c>
      <c r="E28" s="61">
        <v>7202.3157107047136</v>
      </c>
      <c r="F28" s="61">
        <v>6586.3137770503045</v>
      </c>
      <c r="G28" s="55">
        <f t="shared" si="0"/>
        <v>4.3633628329663651E-2</v>
      </c>
      <c r="H28" s="55">
        <f t="shared" si="1"/>
        <v>9.3527571644223581E-2</v>
      </c>
    </row>
    <row r="29" spans="1:8" s="4" customFormat="1" ht="25.5">
      <c r="A29" s="50">
        <v>18</v>
      </c>
      <c r="B29" s="54" t="s">
        <v>52</v>
      </c>
      <c r="C29" s="86">
        <v>361.98546449200001</v>
      </c>
      <c r="D29" s="86">
        <v>308.13272725600007</v>
      </c>
      <c r="E29" s="61">
        <v>2045.4566871740003</v>
      </c>
      <c r="F29" s="61">
        <v>1593.735743532</v>
      </c>
      <c r="G29" s="55">
        <f t="shared" si="0"/>
        <v>1.2391944540826389E-2</v>
      </c>
      <c r="H29" s="55">
        <f t="shared" si="1"/>
        <v>0.28343528434701909</v>
      </c>
    </row>
    <row r="30" spans="1:8" s="4" customFormat="1" ht="25.5">
      <c r="A30" s="50">
        <v>19</v>
      </c>
      <c r="B30" s="54" t="s">
        <v>53</v>
      </c>
      <c r="C30" s="86">
        <f>18304536774.4569/10^7</f>
        <v>1830.4536774456901</v>
      </c>
      <c r="D30" s="86">
        <v>1755.3296631870362</v>
      </c>
      <c r="E30" s="64">
        <v>9709.7394715846895</v>
      </c>
      <c r="F30" s="64">
        <v>8946.4281631870363</v>
      </c>
      <c r="G30" s="55">
        <f t="shared" si="0"/>
        <v>5.8824297670163748E-2</v>
      </c>
      <c r="H30" s="55">
        <f t="shared" si="1"/>
        <v>8.5320229981675114E-2</v>
      </c>
    </row>
    <row r="31" spans="1:8" s="4" customFormat="1" ht="25.5">
      <c r="A31" s="50">
        <v>20</v>
      </c>
      <c r="B31" s="54" t="s">
        <v>54</v>
      </c>
      <c r="C31" s="86">
        <v>3252.0345265999995</v>
      </c>
      <c r="D31" s="86">
        <v>3141.3410079999999</v>
      </c>
      <c r="E31" s="64">
        <v>21884.498054200001</v>
      </c>
      <c r="F31" s="64">
        <v>19390.965446800001</v>
      </c>
      <c r="G31" s="55">
        <f t="shared" si="0"/>
        <v>0.13258236553820515</v>
      </c>
      <c r="H31" s="55">
        <f t="shared" si="1"/>
        <v>0.12859249397566722</v>
      </c>
    </row>
    <row r="32" spans="1:8" s="4" customFormat="1" ht="25.5">
      <c r="A32" s="50">
        <v>21</v>
      </c>
      <c r="B32" s="54" t="s">
        <v>55</v>
      </c>
      <c r="C32" s="86">
        <v>2171.1400000000003</v>
      </c>
      <c r="D32" s="86">
        <v>2088.7800000000002</v>
      </c>
      <c r="E32" s="64">
        <v>11230.926299999999</v>
      </c>
      <c r="F32" s="64">
        <v>10052.248900000001</v>
      </c>
      <c r="G32" s="55">
        <f t="shared" si="0"/>
        <v>6.8040069840828415E-2</v>
      </c>
      <c r="H32" s="55">
        <f t="shared" si="1"/>
        <v>0.1172550950265466</v>
      </c>
    </row>
    <row r="33" spans="1:8" s="4" customFormat="1" ht="25.5">
      <c r="A33" s="50">
        <v>22</v>
      </c>
      <c r="B33" s="54" t="s">
        <v>56</v>
      </c>
      <c r="C33" s="86">
        <v>1626.98</v>
      </c>
      <c r="D33" s="86">
        <v>1318.87</v>
      </c>
      <c r="E33" s="64">
        <v>10934.41</v>
      </c>
      <c r="F33" s="64">
        <v>10067.700000000001</v>
      </c>
      <c r="G33" s="55">
        <f t="shared" si="0"/>
        <v>6.6243691766390875E-2</v>
      </c>
      <c r="H33" s="55">
        <f t="shared" si="1"/>
        <v>8.6088183001082577E-2</v>
      </c>
    </row>
    <row r="34" spans="1:8" s="4" customFormat="1" ht="25.5">
      <c r="A34" s="50">
        <v>23</v>
      </c>
      <c r="B34" s="54" t="s">
        <v>57</v>
      </c>
      <c r="C34" s="86">
        <v>459.13</v>
      </c>
      <c r="D34" s="86">
        <v>571.78</v>
      </c>
      <c r="E34" s="64">
        <v>2837.3321000893397</v>
      </c>
      <c r="F34" s="64">
        <v>2697.4610271559995</v>
      </c>
      <c r="G34" s="55">
        <f t="shared" si="0"/>
        <v>1.7189345659912581E-2</v>
      </c>
      <c r="H34" s="55">
        <f t="shared" si="1"/>
        <v>5.1852861459433117E-2</v>
      </c>
    </row>
    <row r="35" spans="1:8" s="4" customFormat="1" ht="25.5">
      <c r="A35" s="50">
        <v>24</v>
      </c>
      <c r="B35" s="54" t="s">
        <v>58</v>
      </c>
      <c r="C35" s="86">
        <v>83.47</v>
      </c>
      <c r="D35" s="86">
        <v>73.02</v>
      </c>
      <c r="E35" s="61">
        <v>506.55000000000007</v>
      </c>
      <c r="F35" s="61">
        <v>465.73999999999995</v>
      </c>
      <c r="G35" s="55">
        <f t="shared" si="0"/>
        <v>3.068820545805883E-3</v>
      </c>
      <c r="H35" s="55">
        <f t="shared" si="1"/>
        <v>8.7623996221067812E-2</v>
      </c>
    </row>
    <row r="36" spans="1:8" s="4" customFormat="1" ht="25.5">
      <c r="A36" s="50">
        <v>25</v>
      </c>
      <c r="B36" s="54" t="s">
        <v>87</v>
      </c>
      <c r="C36" s="86">
        <v>141.90444396400159</v>
      </c>
      <c r="D36" s="86">
        <v>164.0643917620321</v>
      </c>
      <c r="E36" s="61">
        <v>1020.1896088139097</v>
      </c>
      <c r="F36" s="61">
        <v>935.24704931766144</v>
      </c>
      <c r="G36" s="55">
        <f t="shared" si="0"/>
        <v>6.1805919102670848E-3</v>
      </c>
      <c r="H36" s="55">
        <f t="shared" si="1"/>
        <v>9.0823659436531479E-2</v>
      </c>
    </row>
    <row r="37" spans="1:8" s="4" customFormat="1" ht="25.5">
      <c r="A37" s="50"/>
      <c r="B37" s="56" t="s">
        <v>59</v>
      </c>
      <c r="C37" s="47">
        <f>SUM(C12:C36)</f>
        <v>23373.599244810786</v>
      </c>
      <c r="D37" s="47">
        <f t="shared" ref="D37:F37" si="2">SUM(D12:D36)</f>
        <v>22985.211010562471</v>
      </c>
      <c r="E37" s="47">
        <f>SUM(E12:E36)</f>
        <v>138062.39201622378</v>
      </c>
      <c r="F37" s="47">
        <f t="shared" si="2"/>
        <v>131243.78362062087</v>
      </c>
      <c r="G37" s="57">
        <f t="shared" ref="G37" si="3">E37/$E$99</f>
        <v>0.83642030445660553</v>
      </c>
      <c r="H37" s="58">
        <f t="shared" si="1"/>
        <v>5.1953762742112622E-2</v>
      </c>
    </row>
    <row r="38" spans="1:8" s="4" customFormat="1" ht="25.5">
      <c r="A38" s="50">
        <v>26</v>
      </c>
      <c r="B38" s="54" t="s">
        <v>60</v>
      </c>
      <c r="C38" s="86">
        <v>513.44109400000002</v>
      </c>
      <c r="D38" s="86">
        <v>460.8</v>
      </c>
      <c r="E38" s="61">
        <v>2719.8357313261104</v>
      </c>
      <c r="F38" s="61">
        <v>2170.8004172974897</v>
      </c>
      <c r="G38" s="55">
        <f t="shared" ref="G38:G45" si="4">E38/$E$50</f>
        <v>1.6477520034568226E-2</v>
      </c>
      <c r="H38" s="55">
        <f t="shared" si="1"/>
        <v>0.25291837501677611</v>
      </c>
    </row>
    <row r="39" spans="1:8" s="4" customFormat="1" ht="25.5">
      <c r="A39" s="50">
        <v>27</v>
      </c>
      <c r="B39" s="54" t="s">
        <v>61</v>
      </c>
      <c r="C39" s="86">
        <v>723.20323438857599</v>
      </c>
      <c r="D39" s="86">
        <v>710.45521521900002</v>
      </c>
      <c r="E39" s="61">
        <v>4354.0488823219921</v>
      </c>
      <c r="F39" s="61">
        <v>4159.845173923718</v>
      </c>
      <c r="G39" s="55">
        <f t="shared" si="4"/>
        <v>2.6378037049674993E-2</v>
      </c>
      <c r="H39" s="55">
        <f t="shared" si="1"/>
        <v>4.6685321274852656E-2</v>
      </c>
    </row>
    <row r="40" spans="1:8" s="4" customFormat="1" ht="25.5">
      <c r="A40" s="50">
        <v>28</v>
      </c>
      <c r="B40" s="54" t="s">
        <v>62</v>
      </c>
      <c r="C40" s="86">
        <v>135.58986196837364</v>
      </c>
      <c r="D40" s="86">
        <v>145.77400160440038</v>
      </c>
      <c r="E40" s="61">
        <v>965.68105020928419</v>
      </c>
      <c r="F40" s="61">
        <v>831.98816239480732</v>
      </c>
      <c r="G40" s="55">
        <f t="shared" si="4"/>
        <v>5.8503639277024053E-3</v>
      </c>
      <c r="H40" s="55">
        <f t="shared" si="1"/>
        <v>0.16069085337663128</v>
      </c>
    </row>
    <row r="41" spans="1:8" s="4" customFormat="1" ht="25.5">
      <c r="A41" s="50">
        <v>29</v>
      </c>
      <c r="B41" s="54" t="s">
        <v>63</v>
      </c>
      <c r="C41" s="86">
        <v>592.80786148578898</v>
      </c>
      <c r="D41" s="86">
        <v>601.519346595</v>
      </c>
      <c r="E41" s="61">
        <v>3474.973355297795</v>
      </c>
      <c r="F41" s="61">
        <v>3241.5128294780002</v>
      </c>
      <c r="G41" s="55">
        <f t="shared" si="4"/>
        <v>2.1052353427827217E-2</v>
      </c>
      <c r="H41" s="55">
        <f t="shared" si="1"/>
        <v>7.2022089098870035E-2</v>
      </c>
    </row>
    <row r="42" spans="1:8" s="4" customFormat="1" ht="25.5">
      <c r="A42" s="50"/>
      <c r="B42" s="54" t="s">
        <v>64</v>
      </c>
      <c r="C42" s="44">
        <v>0</v>
      </c>
      <c r="D42" s="44">
        <v>0</v>
      </c>
      <c r="E42" s="44">
        <v>0</v>
      </c>
      <c r="F42" s="44">
        <v>0</v>
      </c>
      <c r="G42" s="55">
        <f t="shared" si="4"/>
        <v>0</v>
      </c>
      <c r="H42" s="44">
        <v>0</v>
      </c>
    </row>
    <row r="43" spans="1:8" s="4" customFormat="1" ht="25.5">
      <c r="A43" s="50">
        <v>30</v>
      </c>
      <c r="B43" s="54" t="s">
        <v>65</v>
      </c>
      <c r="C43" s="86">
        <v>1518.6856356667502</v>
      </c>
      <c r="D43" s="86">
        <v>1469.372398</v>
      </c>
      <c r="E43" s="61">
        <v>8060.1420685533303</v>
      </c>
      <c r="F43" s="61">
        <v>7813.1587345999997</v>
      </c>
      <c r="G43" s="55">
        <f t="shared" si="4"/>
        <v>4.8830578584721715E-2</v>
      </c>
      <c r="H43" s="55">
        <f t="shared" si="1"/>
        <v>3.161120135184034E-2</v>
      </c>
    </row>
    <row r="44" spans="1:8" s="4" customFormat="1" ht="25.5">
      <c r="A44" s="50">
        <v>31</v>
      </c>
      <c r="B44" s="54" t="s">
        <v>90</v>
      </c>
      <c r="C44" s="86">
        <v>0.88634883249293583</v>
      </c>
      <c r="D44" s="86">
        <v>0.02</v>
      </c>
      <c r="E44" s="61">
        <v>8.7128700449223153</v>
      </c>
      <c r="F44" s="44">
        <v>0.1101819</v>
      </c>
      <c r="G44" s="55">
        <f t="shared" si="4"/>
        <v>5.2784985898320449E-5</v>
      </c>
      <c r="H44" s="55">
        <f t="shared" si="1"/>
        <v>78.077144657355831</v>
      </c>
    </row>
    <row r="45" spans="1:8" s="4" customFormat="1" ht="25.5">
      <c r="A45" s="50">
        <v>32</v>
      </c>
      <c r="B45" s="54" t="s">
        <v>92</v>
      </c>
      <c r="C45" s="86">
        <v>8.0880475066101685</v>
      </c>
      <c r="D45" s="86">
        <v>1.7768E-3</v>
      </c>
      <c r="E45" s="61">
        <v>40.545875780485858</v>
      </c>
      <c r="F45" s="44">
        <v>1.7768E-3</v>
      </c>
      <c r="G45" s="55">
        <f t="shared" si="4"/>
        <v>2.4563817321655932E-4</v>
      </c>
      <c r="H45" s="44">
        <v>0</v>
      </c>
    </row>
    <row r="46" spans="1:8" s="4" customFormat="1" ht="25.5">
      <c r="A46" s="50"/>
      <c r="B46" s="56" t="s">
        <v>66</v>
      </c>
      <c r="C46" s="49">
        <f>SUM(C38:C45)</f>
        <v>3492.7020838485914</v>
      </c>
      <c r="D46" s="49">
        <f>SUM(D38:D45)</f>
        <v>3387.9427382184003</v>
      </c>
      <c r="E46" s="49">
        <f>SUM(E38:E45)</f>
        <v>19623.939833533917</v>
      </c>
      <c r="F46" s="49">
        <f>SUM(F38:F45)</f>
        <v>18217.417276394015</v>
      </c>
      <c r="G46" s="57">
        <f t="shared" ref="G46" si="5">E46/$E$99</f>
        <v>0.11888727618360942</v>
      </c>
      <c r="H46" s="58">
        <f t="shared" si="1"/>
        <v>7.7207572061406479E-2</v>
      </c>
    </row>
    <row r="47" spans="1:8" s="4" customFormat="1" ht="25.5">
      <c r="A47" s="50">
        <v>33</v>
      </c>
      <c r="B47" s="54" t="s">
        <v>67</v>
      </c>
      <c r="C47" s="86">
        <v>4118.1589621993298</v>
      </c>
      <c r="D47" s="86">
        <v>1042.9129461599998</v>
      </c>
      <c r="E47" s="61">
        <v>6702.9433741449675</v>
      </c>
      <c r="F47" s="61">
        <v>3816.5724171899992</v>
      </c>
      <c r="G47" s="55">
        <f>E47/$E$50</f>
        <v>4.0608292061888228E-2</v>
      </c>
      <c r="H47" s="55">
        <f t="shared" ref="H47:H50" si="6">((E47-F47)/F47)</f>
        <v>0.75627307475016969</v>
      </c>
    </row>
    <row r="48" spans="1:8" s="4" customFormat="1" ht="25.5">
      <c r="A48" s="50">
        <v>34</v>
      </c>
      <c r="B48" s="54" t="s">
        <v>68</v>
      </c>
      <c r="C48" s="86">
        <v>134.76</v>
      </c>
      <c r="D48" s="86">
        <v>134.47</v>
      </c>
      <c r="E48" s="61">
        <v>674.14</v>
      </c>
      <c r="F48" s="61">
        <v>616.52</v>
      </c>
      <c r="G48" s="55">
        <f>E48/$E$50</f>
        <v>4.0841272978967081E-3</v>
      </c>
      <c r="H48" s="55">
        <f t="shared" si="6"/>
        <v>9.3460066177901785E-2</v>
      </c>
    </row>
    <row r="49" spans="1:8" s="4" customFormat="1" ht="26.25">
      <c r="A49" s="59"/>
      <c r="B49" s="56" t="s">
        <v>69</v>
      </c>
      <c r="C49" s="51">
        <f>SUM(C47:C48)</f>
        <v>4252.9189621993301</v>
      </c>
      <c r="D49" s="51">
        <f t="shared" ref="D49:F49" si="7">SUM(D47:D48)</f>
        <v>1177.3829461599998</v>
      </c>
      <c r="E49" s="51">
        <f t="shared" si="7"/>
        <v>7377.0833741449678</v>
      </c>
      <c r="F49" s="51">
        <f t="shared" si="7"/>
        <v>4433.0924171899987</v>
      </c>
      <c r="G49" s="57">
        <f>E49/$E$99</f>
        <v>4.4692419359784942E-2</v>
      </c>
      <c r="H49" s="57">
        <f t="shared" si="6"/>
        <v>0.6640941987898088</v>
      </c>
    </row>
    <row r="50" spans="1:8" s="4" customFormat="1" ht="26.25">
      <c r="A50" s="59"/>
      <c r="B50" s="56" t="s">
        <v>70</v>
      </c>
      <c r="C50" s="53">
        <f>(C37+C46+C49)</f>
        <v>31119.220290858706</v>
      </c>
      <c r="D50" s="53">
        <f t="shared" ref="D50:F50" si="8">(D37+D46+D49)</f>
        <v>27550.536694940871</v>
      </c>
      <c r="E50" s="53">
        <f t="shared" si="8"/>
        <v>165063.41522390267</v>
      </c>
      <c r="F50" s="53">
        <f t="shared" si="8"/>
        <v>153894.29331420487</v>
      </c>
      <c r="G50" s="57">
        <f>E50/$E$99</f>
        <v>1</v>
      </c>
      <c r="H50" s="57">
        <f t="shared" si="6"/>
        <v>7.2576582725480829E-2</v>
      </c>
    </row>
    <row r="51" spans="1:8" s="6" customFormat="1" ht="20.100000000000001" customHeight="1">
      <c r="A51" s="68" t="s">
        <v>71</v>
      </c>
      <c r="B51" s="68"/>
      <c r="C51" s="68"/>
      <c r="D51" s="68"/>
      <c r="E51" s="28"/>
      <c r="F51" s="28"/>
      <c r="G51" s="29"/>
      <c r="H51" s="30"/>
    </row>
    <row r="52" spans="1:8" s="6" customFormat="1" ht="20.100000000000001" customHeight="1">
      <c r="A52" s="69" t="s">
        <v>72</v>
      </c>
      <c r="B52" s="69"/>
      <c r="C52" s="69"/>
      <c r="D52" s="69"/>
      <c r="E52" s="69"/>
      <c r="F52" s="69"/>
      <c r="G52" s="69"/>
      <c r="H52" s="69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70" t="s">
        <v>73</v>
      </c>
      <c r="B54" s="70"/>
      <c r="C54" s="70"/>
      <c r="D54" s="70"/>
      <c r="E54" s="70"/>
      <c r="F54" s="70"/>
      <c r="G54" s="70"/>
      <c r="H54" s="70"/>
    </row>
    <row r="55" spans="1:8" s="2" customFormat="1" ht="38.1" customHeight="1">
      <c r="A55" s="71" t="s">
        <v>88</v>
      </c>
      <c r="B55" s="71"/>
      <c r="C55" s="71"/>
      <c r="D55" s="71"/>
      <c r="E55" s="71"/>
      <c r="F55" s="71"/>
      <c r="G55" s="71"/>
      <c r="H55" s="71"/>
    </row>
    <row r="56" spans="1:8" s="2" customFormat="1" ht="38.1" customHeight="1">
      <c r="A56" s="72" t="s">
        <v>102</v>
      </c>
      <c r="B56" s="72"/>
      <c r="C56" s="72"/>
      <c r="D56" s="72"/>
      <c r="E56" s="72"/>
      <c r="F56" s="72"/>
      <c r="G56" s="72"/>
      <c r="H56" s="72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1" t="s">
        <v>74</v>
      </c>
      <c r="D58" s="81"/>
      <c r="E58" s="81"/>
      <c r="F58" s="81"/>
      <c r="G58" s="82" t="s">
        <v>105</v>
      </c>
      <c r="H58" s="82" t="s">
        <v>75</v>
      </c>
    </row>
    <row r="59" spans="1:8" s="4" customFormat="1" ht="33" customHeight="1">
      <c r="A59" s="83" t="s">
        <v>76</v>
      </c>
      <c r="B59" s="84" t="s">
        <v>77</v>
      </c>
      <c r="C59" s="85" t="s">
        <v>104</v>
      </c>
      <c r="D59" s="85"/>
      <c r="E59" s="85" t="s">
        <v>103</v>
      </c>
      <c r="F59" s="85"/>
      <c r="G59" s="82"/>
      <c r="H59" s="82"/>
    </row>
    <row r="60" spans="1:8" s="36" customFormat="1" ht="70.5" customHeight="1">
      <c r="A60" s="83" t="s">
        <v>76</v>
      </c>
      <c r="B60" s="84"/>
      <c r="C60" s="35" t="s">
        <v>95</v>
      </c>
      <c r="D60" s="35" t="s">
        <v>0</v>
      </c>
      <c r="E60" s="60" t="s">
        <v>95</v>
      </c>
      <c r="F60" s="60" t="s">
        <v>0</v>
      </c>
      <c r="G60" s="82"/>
      <c r="H60" s="82"/>
    </row>
    <row r="61" spans="1:8" s="4" customFormat="1" ht="24.75" customHeight="1">
      <c r="A61" s="42">
        <v>1</v>
      </c>
      <c r="B61" s="43" t="s">
        <v>21</v>
      </c>
      <c r="C61" s="61">
        <v>226.87100000000001</v>
      </c>
      <c r="D61" s="61">
        <v>177.0925474</v>
      </c>
      <c r="E61" s="61">
        <v>1149.1246820000001</v>
      </c>
      <c r="F61" s="61">
        <v>1041.1699200999999</v>
      </c>
      <c r="G61" s="45">
        <f t="shared" ref="G61:G98" si="9">E61/$E$99</f>
        <v>6.9617163830110584E-3</v>
      </c>
      <c r="H61" s="45">
        <f t="shared" ref="H61:H85" si="10">((E61-F61)/F61)</f>
        <v>0.10368601686997607</v>
      </c>
    </row>
    <row r="62" spans="1:8" s="4" customFormat="1" ht="24.75" customHeight="1">
      <c r="A62" s="42">
        <v>2</v>
      </c>
      <c r="B62" s="43" t="s">
        <v>4</v>
      </c>
      <c r="C62" s="86">
        <v>2218.7659573999999</v>
      </c>
      <c r="D62" s="86">
        <v>1689.1713658000006</v>
      </c>
      <c r="E62" s="61">
        <v>11554.352707400001</v>
      </c>
      <c r="F62" s="61">
        <v>10557.155313800002</v>
      </c>
      <c r="G62" s="45">
        <f t="shared" si="9"/>
        <v>6.9999476817603296E-2</v>
      </c>
      <c r="H62" s="45">
        <f t="shared" si="10"/>
        <v>9.4457016493495416E-2</v>
      </c>
    </row>
    <row r="63" spans="1:8" s="4" customFormat="1" ht="24.75" customHeight="1">
      <c r="A63" s="42">
        <v>3</v>
      </c>
      <c r="B63" s="43" t="s">
        <v>14</v>
      </c>
      <c r="C63" s="86">
        <v>618.20406792043036</v>
      </c>
      <c r="D63" s="86">
        <v>757.44935009951098</v>
      </c>
      <c r="E63" s="61">
        <v>3647.4157529755857</v>
      </c>
      <c r="F63" s="61">
        <v>4092.0174087140313</v>
      </c>
      <c r="G63" s="45">
        <f t="shared" si="9"/>
        <v>2.2097057352339376E-2</v>
      </c>
      <c r="H63" s="45">
        <f t="shared" si="10"/>
        <v>-0.1086509687841644</v>
      </c>
    </row>
    <row r="64" spans="1:8" s="4" customFormat="1" ht="24.75" customHeight="1">
      <c r="A64" s="42">
        <v>4</v>
      </c>
      <c r="B64" s="43" t="s">
        <v>96</v>
      </c>
      <c r="C64" s="86">
        <v>286.93308803391403</v>
      </c>
      <c r="D64" s="86">
        <v>301.85297473698381</v>
      </c>
      <c r="E64" s="61">
        <v>2492.9895431149835</v>
      </c>
      <c r="F64" s="61">
        <v>2714.9356206800385</v>
      </c>
      <c r="G64" s="45">
        <f t="shared" si="9"/>
        <v>1.510322284155657E-2</v>
      </c>
      <c r="H64" s="45">
        <f t="shared" si="10"/>
        <v>-8.1750033361550525E-2</v>
      </c>
    </row>
    <row r="65" spans="1:10" s="4" customFormat="1" ht="24.75" customHeight="1">
      <c r="A65" s="42">
        <v>5</v>
      </c>
      <c r="B65" s="43" t="s">
        <v>12</v>
      </c>
      <c r="C65" s="86">
        <v>760.80510909999998</v>
      </c>
      <c r="D65" s="86">
        <v>694.367921346</v>
      </c>
      <c r="E65" s="61">
        <v>4886.5434735999997</v>
      </c>
      <c r="F65" s="61">
        <v>4376.6151885879999</v>
      </c>
      <c r="G65" s="45">
        <f t="shared" si="9"/>
        <v>2.9604037133071411E-2</v>
      </c>
      <c r="H65" s="45">
        <f t="shared" si="10"/>
        <v>0.11651202197114223</v>
      </c>
    </row>
    <row r="66" spans="1:10" s="4" customFormat="1" ht="24.75" customHeight="1">
      <c r="A66" s="42">
        <v>6</v>
      </c>
      <c r="B66" s="43" t="s">
        <v>7</v>
      </c>
      <c r="C66" s="86">
        <v>1667.2409257223969</v>
      </c>
      <c r="D66" s="86">
        <v>1732.7546498419999</v>
      </c>
      <c r="E66" s="61">
        <v>7383.5210909015677</v>
      </c>
      <c r="F66" s="61">
        <v>8881.2936543720007</v>
      </c>
      <c r="G66" s="45">
        <f t="shared" si="9"/>
        <v>4.4731420835356417E-2</v>
      </c>
      <c r="H66" s="45">
        <f t="shared" si="10"/>
        <v>-0.16864351318156487</v>
      </c>
    </row>
    <row r="67" spans="1:10" s="4" customFormat="1" ht="24.75" customHeight="1">
      <c r="A67" s="42">
        <v>7</v>
      </c>
      <c r="B67" s="43" t="s">
        <v>2</v>
      </c>
      <c r="C67" s="86">
        <v>1931.24</v>
      </c>
      <c r="D67" s="86">
        <v>1818.44</v>
      </c>
      <c r="E67" s="61">
        <v>14331.206367197992</v>
      </c>
      <c r="F67" s="61">
        <v>14408.810000000001</v>
      </c>
      <c r="G67" s="45">
        <f t="shared" si="9"/>
        <v>8.6822427294129464E-2</v>
      </c>
      <c r="H67" s="45">
        <f t="shared" si="10"/>
        <v>-5.3858460762553663E-3</v>
      </c>
    </row>
    <row r="68" spans="1:10" s="4" customFormat="1" ht="24.75" customHeight="1">
      <c r="A68" s="42">
        <v>8</v>
      </c>
      <c r="B68" s="43" t="s">
        <v>15</v>
      </c>
      <c r="C68" s="86">
        <v>730.74230653061295</v>
      </c>
      <c r="D68" s="86">
        <v>688.01953178600002</v>
      </c>
      <c r="E68" s="61">
        <v>4373.8477627456132</v>
      </c>
      <c r="F68" s="61">
        <v>4030.4778914299995</v>
      </c>
      <c r="G68" s="45">
        <f t="shared" si="9"/>
        <v>2.6497984164526363E-2</v>
      </c>
      <c r="H68" s="45">
        <f t="shared" si="10"/>
        <v>8.5193339491011877E-2</v>
      </c>
    </row>
    <row r="69" spans="1:10" s="4" customFormat="1" ht="24.75" customHeight="1">
      <c r="A69" s="42">
        <v>9</v>
      </c>
      <c r="B69" s="43" t="s">
        <v>24</v>
      </c>
      <c r="C69" s="86">
        <v>4.4000000000000004</v>
      </c>
      <c r="D69" s="86">
        <v>49.971992755999999</v>
      </c>
      <c r="E69" s="61">
        <v>297.51587991612848</v>
      </c>
      <c r="F69" s="61">
        <v>427.18207487900008</v>
      </c>
      <c r="G69" s="45">
        <f t="shared" si="9"/>
        <v>1.8024338071071578E-3</v>
      </c>
      <c r="H69" s="45">
        <f t="shared" si="10"/>
        <v>-0.30353847361128095</v>
      </c>
    </row>
    <row r="70" spans="1:10" s="4" customFormat="1" ht="24.75" customHeight="1">
      <c r="A70" s="42">
        <v>10</v>
      </c>
      <c r="B70" s="43" t="s">
        <v>20</v>
      </c>
      <c r="C70" s="86">
        <v>224.6135557536179</v>
      </c>
      <c r="D70" s="86">
        <v>184.59023321999601</v>
      </c>
      <c r="E70" s="61">
        <v>1328.3232082155464</v>
      </c>
      <c r="F70" s="61">
        <v>1134.5428082599717</v>
      </c>
      <c r="G70" s="45">
        <f t="shared" si="9"/>
        <v>8.0473508100733469E-3</v>
      </c>
      <c r="H70" s="45">
        <f t="shared" si="10"/>
        <v>0.17080043039783777</v>
      </c>
    </row>
    <row r="71" spans="1:10" s="4" customFormat="1" ht="24.75" customHeight="1">
      <c r="A71" s="42">
        <v>11</v>
      </c>
      <c r="B71" s="43" t="s">
        <v>93</v>
      </c>
      <c r="C71" s="86">
        <v>237.84250899780264</v>
      </c>
      <c r="D71" s="86">
        <v>206.7534872</v>
      </c>
      <c r="E71" s="61">
        <v>1662.6684068784605</v>
      </c>
      <c r="F71" s="61">
        <v>1506.7765301899999</v>
      </c>
      <c r="G71" s="45">
        <f t="shared" si="9"/>
        <v>1.0072906855968717E-2</v>
      </c>
      <c r="H71" s="45">
        <f t="shared" si="10"/>
        <v>0.10346051558740638</v>
      </c>
    </row>
    <row r="72" spans="1:10" s="4" customFormat="1" ht="24.75" customHeight="1">
      <c r="A72" s="42">
        <v>12</v>
      </c>
      <c r="B72" s="43" t="s">
        <v>8</v>
      </c>
      <c r="C72" s="86">
        <v>1259.45</v>
      </c>
      <c r="D72" s="86">
        <v>1576.72</v>
      </c>
      <c r="E72" s="61">
        <v>8289.8700000000008</v>
      </c>
      <c r="F72" s="61">
        <v>7864.02</v>
      </c>
      <c r="G72" s="45">
        <f t="shared" si="9"/>
        <v>5.0222334178382809E-2</v>
      </c>
      <c r="H72" s="45">
        <f t="shared" si="10"/>
        <v>5.4151693408714667E-2</v>
      </c>
      <c r="J72" s="62"/>
    </row>
    <row r="73" spans="1:10" s="4" customFormat="1" ht="24.75" customHeight="1">
      <c r="A73" s="42">
        <v>13</v>
      </c>
      <c r="B73" s="43" t="s">
        <v>28</v>
      </c>
      <c r="C73" s="86">
        <v>6.4953458348923743</v>
      </c>
      <c r="D73" s="86">
        <v>4.8179753625252504</v>
      </c>
      <c r="E73" s="61">
        <v>55.088541623431148</v>
      </c>
      <c r="F73" s="61">
        <v>26.6532327364229</v>
      </c>
      <c r="G73" s="45">
        <f t="shared" si="9"/>
        <v>3.3374168072740703E-4</v>
      </c>
      <c r="H73" s="45">
        <f t="shared" si="10"/>
        <v>1.0668615386436804</v>
      </c>
    </row>
    <row r="74" spans="1:10" s="4" customFormat="1" ht="24.75" customHeight="1">
      <c r="A74" s="42">
        <v>14</v>
      </c>
      <c r="B74" s="43" t="s">
        <v>27</v>
      </c>
      <c r="C74" s="86">
        <v>20.765071021547566</v>
      </c>
      <c r="D74" s="86">
        <v>40.020824329001179</v>
      </c>
      <c r="E74" s="61">
        <v>92.407305965166714</v>
      </c>
      <c r="F74" s="61">
        <v>244.56441688200414</v>
      </c>
      <c r="G74" s="45">
        <f t="shared" si="9"/>
        <v>5.5982911682652076E-4</v>
      </c>
      <c r="H74" s="45">
        <f t="shared" si="10"/>
        <v>-0.62215555662886646</v>
      </c>
    </row>
    <row r="75" spans="1:10" s="4" customFormat="1" ht="24.75" customHeight="1">
      <c r="A75" s="42">
        <v>15</v>
      </c>
      <c r="B75" s="43" t="s">
        <v>10</v>
      </c>
      <c r="C75" s="86">
        <v>1719.7928487861363</v>
      </c>
      <c r="D75" s="86">
        <v>1962.3134611466533</v>
      </c>
      <c r="E75" s="61">
        <v>6949.7093732427538</v>
      </c>
      <c r="F75" s="61">
        <v>7279.8724669055755</v>
      </c>
      <c r="G75" s="45">
        <f t="shared" si="9"/>
        <v>4.2103269000073211E-2</v>
      </c>
      <c r="H75" s="45">
        <f t="shared" si="10"/>
        <v>-4.5352867809669566E-2</v>
      </c>
    </row>
    <row r="76" spans="1:10" s="4" customFormat="1" ht="24.75" customHeight="1">
      <c r="A76" s="42">
        <v>16</v>
      </c>
      <c r="B76" s="43" t="s">
        <v>18</v>
      </c>
      <c r="C76" s="86">
        <v>311.07662381013694</v>
      </c>
      <c r="D76" s="86">
        <v>289.60543902592087</v>
      </c>
      <c r="E76" s="61">
        <v>2196.3899878798952</v>
      </c>
      <c r="F76" s="61">
        <v>1921.856986040822</v>
      </c>
      <c r="G76" s="45">
        <f t="shared" si="9"/>
        <v>1.3306340383788679E-2</v>
      </c>
      <c r="H76" s="45">
        <f t="shared" si="10"/>
        <v>0.14284777891024711</v>
      </c>
    </row>
    <row r="77" spans="1:10" s="4" customFormat="1" ht="24.75" customHeight="1">
      <c r="A77" s="42">
        <v>17</v>
      </c>
      <c r="B77" s="43" t="s">
        <v>11</v>
      </c>
      <c r="C77" s="86">
        <v>1221.2627233976077</v>
      </c>
      <c r="D77" s="86">
        <v>1389.9514663068103</v>
      </c>
      <c r="E77" s="61">
        <v>7202.3157107047136</v>
      </c>
      <c r="F77" s="61">
        <v>6586.3137770503045</v>
      </c>
      <c r="G77" s="45">
        <f t="shared" si="9"/>
        <v>4.3633628329663651E-2</v>
      </c>
      <c r="H77" s="45">
        <f t="shared" si="10"/>
        <v>9.3527571644223581E-2</v>
      </c>
    </row>
    <row r="78" spans="1:10" s="4" customFormat="1" ht="24.75" customHeight="1">
      <c r="A78" s="42">
        <v>18</v>
      </c>
      <c r="B78" s="43" t="s">
        <v>19</v>
      </c>
      <c r="C78" s="86">
        <v>361.98546449200001</v>
      </c>
      <c r="D78" s="86">
        <v>308.13272725600007</v>
      </c>
      <c r="E78" s="61">
        <v>2045.4566871740003</v>
      </c>
      <c r="F78" s="61">
        <v>1593.735743532</v>
      </c>
      <c r="G78" s="45">
        <f t="shared" si="9"/>
        <v>1.2391944540826389E-2</v>
      </c>
      <c r="H78" s="45">
        <f t="shared" si="10"/>
        <v>0.28343528434701909</v>
      </c>
    </row>
    <row r="79" spans="1:10" s="4" customFormat="1" ht="24.75" customHeight="1">
      <c r="A79" s="65">
        <v>19</v>
      </c>
      <c r="B79" s="66" t="s">
        <v>6</v>
      </c>
      <c r="C79" s="86">
        <f>18304536774.4569/10^7</f>
        <v>1830.4536774456901</v>
      </c>
      <c r="D79" s="86">
        <v>1755.3296631870362</v>
      </c>
      <c r="E79" s="64">
        <v>9709.7394715846895</v>
      </c>
      <c r="F79" s="64">
        <v>8946.4281631870363</v>
      </c>
      <c r="G79" s="67">
        <f t="shared" si="9"/>
        <v>5.8824297670163748E-2</v>
      </c>
      <c r="H79" s="67">
        <f t="shared" si="10"/>
        <v>8.5320229981675114E-2</v>
      </c>
    </row>
    <row r="80" spans="1:10" s="4" customFormat="1" ht="24.75" customHeight="1">
      <c r="A80" s="65">
        <v>20</v>
      </c>
      <c r="B80" s="66" t="s">
        <v>1</v>
      </c>
      <c r="C80" s="86">
        <v>3252.0345265999995</v>
      </c>
      <c r="D80" s="86">
        <v>3141.3410079999999</v>
      </c>
      <c r="E80" s="64">
        <v>21884.498054200001</v>
      </c>
      <c r="F80" s="64">
        <v>19390.965446800001</v>
      </c>
      <c r="G80" s="67">
        <f t="shared" si="9"/>
        <v>0.13258236553820515</v>
      </c>
      <c r="H80" s="67">
        <f t="shared" si="10"/>
        <v>0.12859249397566722</v>
      </c>
    </row>
    <row r="81" spans="1:10" s="4" customFormat="1" ht="24.75" customHeight="1">
      <c r="A81" s="65">
        <v>21</v>
      </c>
      <c r="B81" s="66" t="s">
        <v>5</v>
      </c>
      <c r="C81" s="86">
        <v>2171.1400000000003</v>
      </c>
      <c r="D81" s="86">
        <v>2088.7800000000002</v>
      </c>
      <c r="E81" s="64">
        <v>11230.926299999999</v>
      </c>
      <c r="F81" s="64">
        <v>10052.248900000001</v>
      </c>
      <c r="G81" s="67">
        <f t="shared" si="9"/>
        <v>6.8040069840828415E-2</v>
      </c>
      <c r="H81" s="67">
        <f t="shared" si="10"/>
        <v>0.1172550950265466</v>
      </c>
      <c r="J81" s="62"/>
    </row>
    <row r="82" spans="1:10" s="4" customFormat="1" ht="24.75" customHeight="1">
      <c r="A82" s="65">
        <v>22</v>
      </c>
      <c r="B82" s="66" t="s">
        <v>3</v>
      </c>
      <c r="C82" s="86">
        <v>1626.98</v>
      </c>
      <c r="D82" s="86">
        <v>1318.87</v>
      </c>
      <c r="E82" s="64">
        <v>10934.41</v>
      </c>
      <c r="F82" s="64">
        <v>10067.700000000001</v>
      </c>
      <c r="G82" s="67">
        <f t="shared" si="9"/>
        <v>6.6243691766390875E-2</v>
      </c>
      <c r="H82" s="67">
        <f t="shared" si="10"/>
        <v>8.6088183001082577E-2</v>
      </c>
    </row>
    <row r="83" spans="1:10" s="4" customFormat="1" ht="24.75" customHeight="1">
      <c r="A83" s="65">
        <v>23</v>
      </c>
      <c r="B83" s="66" t="s">
        <v>16</v>
      </c>
      <c r="C83" s="86">
        <v>459.13</v>
      </c>
      <c r="D83" s="86">
        <v>571.78</v>
      </c>
      <c r="E83" s="64">
        <v>2837.3321000893397</v>
      </c>
      <c r="F83" s="64">
        <v>2697.4610271559995</v>
      </c>
      <c r="G83" s="67">
        <f t="shared" si="9"/>
        <v>1.7189345659912581E-2</v>
      </c>
      <c r="H83" s="67">
        <f t="shared" si="10"/>
        <v>5.1852861459433117E-2</v>
      </c>
    </row>
    <row r="84" spans="1:10" s="4" customFormat="1" ht="24.75" customHeight="1">
      <c r="A84" s="42">
        <v>24</v>
      </c>
      <c r="B84" s="43" t="s">
        <v>25</v>
      </c>
      <c r="C84" s="86">
        <v>83.47</v>
      </c>
      <c r="D84" s="86">
        <v>73.02</v>
      </c>
      <c r="E84" s="61">
        <v>506.55000000000007</v>
      </c>
      <c r="F84" s="61">
        <v>465.73999999999995</v>
      </c>
      <c r="G84" s="45">
        <f t="shared" si="9"/>
        <v>3.068820545805883E-3</v>
      </c>
      <c r="H84" s="45">
        <f t="shared" si="10"/>
        <v>8.7623996221067812E-2</v>
      </c>
    </row>
    <row r="85" spans="1:10" s="4" customFormat="1" ht="24.75" customHeight="1">
      <c r="A85" s="42">
        <v>25</v>
      </c>
      <c r="B85" s="43" t="s">
        <v>86</v>
      </c>
      <c r="C85" s="86">
        <v>141.90444396400159</v>
      </c>
      <c r="D85" s="86">
        <v>164.0643917620321</v>
      </c>
      <c r="E85" s="61">
        <v>1020.1896088139097</v>
      </c>
      <c r="F85" s="61">
        <v>935.24704931766144</v>
      </c>
      <c r="G85" s="45">
        <f t="shared" si="9"/>
        <v>6.1805919102670848E-3</v>
      </c>
      <c r="H85" s="45">
        <f t="shared" si="10"/>
        <v>9.0823659436531479E-2</v>
      </c>
    </row>
    <row r="86" spans="1:10" s="4" customFormat="1" ht="24.75" customHeight="1">
      <c r="A86" s="42"/>
      <c r="B86" s="46" t="s">
        <v>78</v>
      </c>
      <c r="C86" s="47">
        <f>SUM(C61:C85)</f>
        <v>23373.599244810786</v>
      </c>
      <c r="D86" s="47">
        <f>SUM(D61:D85)</f>
        <v>22985.211010562471</v>
      </c>
      <c r="E86" s="47">
        <f>SUM(E61:E85)</f>
        <v>138062.39201622378</v>
      </c>
      <c r="F86" s="47">
        <f>SUM(F61:F85)</f>
        <v>131243.78362062087</v>
      </c>
      <c r="G86" s="48">
        <f t="shared" si="9"/>
        <v>0.83642030445660553</v>
      </c>
      <c r="H86" s="48">
        <f t="shared" ref="H86" si="11">((E86-F86)/F86)</f>
        <v>5.1953762742112622E-2</v>
      </c>
    </row>
    <row r="87" spans="1:10" s="4" customFormat="1" ht="24.75" customHeight="1">
      <c r="A87" s="42">
        <v>26</v>
      </c>
      <c r="B87" s="43" t="s">
        <v>17</v>
      </c>
      <c r="C87" s="86">
        <v>513.44109400000002</v>
      </c>
      <c r="D87" s="86">
        <v>460.8</v>
      </c>
      <c r="E87" s="61">
        <v>2719.8357313261104</v>
      </c>
      <c r="F87" s="61">
        <v>2170.8004172974897</v>
      </c>
      <c r="G87" s="45">
        <f t="shared" si="9"/>
        <v>1.6477520034568226E-2</v>
      </c>
      <c r="H87" s="45">
        <f>((E87-F87)/F87)</f>
        <v>0.25291837501677611</v>
      </c>
    </row>
    <row r="88" spans="1:10" s="5" customFormat="1" ht="24.75" customHeight="1">
      <c r="A88" s="42">
        <v>27</v>
      </c>
      <c r="B88" s="43" t="s">
        <v>13</v>
      </c>
      <c r="C88" s="86">
        <v>723.20323438857599</v>
      </c>
      <c r="D88" s="86">
        <v>710.45521521900002</v>
      </c>
      <c r="E88" s="61">
        <v>4354.0488823219921</v>
      </c>
      <c r="F88" s="61">
        <v>4159.845173923718</v>
      </c>
      <c r="G88" s="45">
        <f t="shared" si="9"/>
        <v>2.6378037049674993E-2</v>
      </c>
      <c r="H88" s="45">
        <f t="shared" ref="H88:H93" si="12">((E88-F88)/F88)</f>
        <v>4.6685321274852656E-2</v>
      </c>
    </row>
    <row r="89" spans="1:10" s="4" customFormat="1" ht="24.75" customHeight="1">
      <c r="A89" s="42">
        <v>28</v>
      </c>
      <c r="B89" s="43" t="s">
        <v>22</v>
      </c>
      <c r="C89" s="86">
        <v>135.58986196837364</v>
      </c>
      <c r="D89" s="86">
        <v>145.77400160440038</v>
      </c>
      <c r="E89" s="61">
        <v>965.68105020928419</v>
      </c>
      <c r="F89" s="61">
        <v>831.98816239480732</v>
      </c>
      <c r="G89" s="45">
        <f t="shared" si="9"/>
        <v>5.8503639277024053E-3</v>
      </c>
      <c r="H89" s="45">
        <f t="shared" si="12"/>
        <v>0.16069085337663128</v>
      </c>
    </row>
    <row r="90" spans="1:10" s="4" customFormat="1" ht="24.75" customHeight="1">
      <c r="A90" s="42">
        <v>29</v>
      </c>
      <c r="B90" s="43" t="s">
        <v>79</v>
      </c>
      <c r="C90" s="86">
        <v>592.80786148578898</v>
      </c>
      <c r="D90" s="86">
        <v>601.519346595</v>
      </c>
      <c r="E90" s="61">
        <v>3474.973355297795</v>
      </c>
      <c r="F90" s="61">
        <v>3241.5128294780002</v>
      </c>
      <c r="G90" s="45">
        <f t="shared" si="9"/>
        <v>2.1052353427827217E-2</v>
      </c>
      <c r="H90" s="45">
        <f t="shared" si="12"/>
        <v>7.2022089098870035E-2</v>
      </c>
    </row>
    <row r="91" spans="1:10" s="4" customFormat="1" ht="24.75" customHeight="1">
      <c r="A91" s="42"/>
      <c r="B91" s="43" t="s">
        <v>80</v>
      </c>
      <c r="C91" s="44">
        <v>0</v>
      </c>
      <c r="D91" s="44">
        <v>0</v>
      </c>
      <c r="E91" s="44">
        <v>0</v>
      </c>
      <c r="F91" s="44">
        <v>0</v>
      </c>
      <c r="G91" s="45">
        <f t="shared" si="9"/>
        <v>0</v>
      </c>
      <c r="H91" s="44">
        <v>0</v>
      </c>
    </row>
    <row r="92" spans="1:10" s="4" customFormat="1" ht="24.75" customHeight="1">
      <c r="A92" s="42">
        <v>30</v>
      </c>
      <c r="B92" s="43" t="s">
        <v>9</v>
      </c>
      <c r="C92" s="86">
        <v>1518.6856356667502</v>
      </c>
      <c r="D92" s="86">
        <v>1469.372398</v>
      </c>
      <c r="E92" s="61">
        <v>8060.1420685533303</v>
      </c>
      <c r="F92" s="61">
        <v>7813.1587345999997</v>
      </c>
      <c r="G92" s="45">
        <f t="shared" si="9"/>
        <v>4.8830578584721715E-2</v>
      </c>
      <c r="H92" s="45">
        <f t="shared" si="12"/>
        <v>3.161120135184034E-2</v>
      </c>
    </row>
    <row r="93" spans="1:10" s="4" customFormat="1" ht="24.75" customHeight="1">
      <c r="A93" s="42">
        <v>31</v>
      </c>
      <c r="B93" s="43" t="s">
        <v>89</v>
      </c>
      <c r="C93" s="86">
        <v>0.88634883249293583</v>
      </c>
      <c r="D93" s="86">
        <v>0.02</v>
      </c>
      <c r="E93" s="61">
        <v>8.7128700449223153</v>
      </c>
      <c r="F93" s="44">
        <v>0.1101819</v>
      </c>
      <c r="G93" s="45">
        <f t="shared" si="9"/>
        <v>5.2784985898320449E-5</v>
      </c>
      <c r="H93" s="45">
        <f t="shared" si="12"/>
        <v>78.077144657355831</v>
      </c>
    </row>
    <row r="94" spans="1:10" s="4" customFormat="1" ht="24.75" customHeight="1">
      <c r="A94" s="42">
        <v>32</v>
      </c>
      <c r="B94" s="43" t="s">
        <v>91</v>
      </c>
      <c r="C94" s="86">
        <v>8.0880475066101685</v>
      </c>
      <c r="D94" s="86">
        <v>1.7768E-3</v>
      </c>
      <c r="E94" s="61">
        <v>40.545875780485858</v>
      </c>
      <c r="F94" s="44">
        <v>1.7768E-3</v>
      </c>
      <c r="G94" s="45">
        <f t="shared" si="9"/>
        <v>2.4563817321655932E-4</v>
      </c>
      <c r="H94" s="44">
        <v>0</v>
      </c>
    </row>
    <row r="95" spans="1:10" s="4" customFormat="1" ht="24.75" customHeight="1">
      <c r="A95" s="42"/>
      <c r="B95" s="46" t="s">
        <v>81</v>
      </c>
      <c r="C95" s="49">
        <f>SUM(C87:C94)</f>
        <v>3492.7020838485914</v>
      </c>
      <c r="D95" s="49">
        <f>SUM(D87:D94)</f>
        <v>3387.9427382184003</v>
      </c>
      <c r="E95" s="49">
        <f>SUM(E87:E94)</f>
        <v>19623.939833533917</v>
      </c>
      <c r="F95" s="49">
        <f>SUM(F87:F94)</f>
        <v>18217.417276394015</v>
      </c>
      <c r="G95" s="48">
        <f t="shared" si="9"/>
        <v>0.11888727618360942</v>
      </c>
      <c r="H95" s="48">
        <f t="shared" ref="H95:H99" si="13">((E95-F95)/F95)</f>
        <v>7.7207572061406479E-2</v>
      </c>
    </row>
    <row r="96" spans="1:10" s="4" customFormat="1" ht="24.75" customHeight="1">
      <c r="A96" s="50">
        <v>33</v>
      </c>
      <c r="B96" s="43" t="s">
        <v>26</v>
      </c>
      <c r="C96" s="86">
        <v>4118.1589621993298</v>
      </c>
      <c r="D96" s="86">
        <v>1042.9129461599998</v>
      </c>
      <c r="E96" s="61">
        <v>6702.9433741449675</v>
      </c>
      <c r="F96" s="61">
        <v>3816.5724171899992</v>
      </c>
      <c r="G96" s="45">
        <f t="shared" si="9"/>
        <v>4.0608292061888228E-2</v>
      </c>
      <c r="H96" s="45">
        <f t="shared" si="13"/>
        <v>0.75627307475016969</v>
      </c>
    </row>
    <row r="97" spans="1:8" s="4" customFormat="1" ht="24.75" customHeight="1">
      <c r="A97" s="50">
        <v>34</v>
      </c>
      <c r="B97" s="43" t="s">
        <v>23</v>
      </c>
      <c r="C97" s="86">
        <v>134.76</v>
      </c>
      <c r="D97" s="86">
        <v>134.47</v>
      </c>
      <c r="E97" s="61">
        <v>674.14</v>
      </c>
      <c r="F97" s="61">
        <v>616.52</v>
      </c>
      <c r="G97" s="45">
        <f t="shared" si="9"/>
        <v>4.0841272978967081E-3</v>
      </c>
      <c r="H97" s="45">
        <f t="shared" si="13"/>
        <v>9.3460066177901785E-2</v>
      </c>
    </row>
    <row r="98" spans="1:8" s="4" customFormat="1" ht="26.25">
      <c r="A98" s="42"/>
      <c r="B98" s="46" t="s">
        <v>82</v>
      </c>
      <c r="C98" s="51">
        <f>SUM(C96:C97)</f>
        <v>4252.9189621993301</v>
      </c>
      <c r="D98" s="51">
        <f t="shared" ref="D98:F98" si="14">SUM(D96:D97)</f>
        <v>1177.3829461599998</v>
      </c>
      <c r="E98" s="51">
        <f t="shared" si="14"/>
        <v>7377.0833741449678</v>
      </c>
      <c r="F98" s="51">
        <f t="shared" si="14"/>
        <v>4433.0924171899987</v>
      </c>
      <c r="G98" s="48">
        <f t="shared" si="9"/>
        <v>4.4692419359784942E-2</v>
      </c>
      <c r="H98" s="48">
        <f t="shared" si="13"/>
        <v>0.6640941987898088</v>
      </c>
    </row>
    <row r="99" spans="1:8" s="4" customFormat="1" ht="26.25">
      <c r="A99" s="42"/>
      <c r="B99" s="52" t="s">
        <v>83</v>
      </c>
      <c r="C99" s="53">
        <f>(C86+C95+C98)</f>
        <v>31119.220290858706</v>
      </c>
      <c r="D99" s="53">
        <f>(D86+D95+D98)</f>
        <v>27550.536694940871</v>
      </c>
      <c r="E99" s="53">
        <f>(E86+E95+E98)</f>
        <v>165063.41522390267</v>
      </c>
      <c r="F99" s="53">
        <f>(F86+F95+F98)</f>
        <v>153894.29331420487</v>
      </c>
      <c r="G99" s="48">
        <f>E99/$E$99</f>
        <v>1</v>
      </c>
      <c r="H99" s="48">
        <f t="shared" si="13"/>
        <v>7.2576582725480829E-2</v>
      </c>
    </row>
    <row r="100" spans="1:8" s="6" customFormat="1" ht="15">
      <c r="A100" s="80" t="s">
        <v>84</v>
      </c>
      <c r="B100" s="80"/>
      <c r="C100" s="80"/>
      <c r="D100" s="80"/>
      <c r="E100" s="80"/>
      <c r="F100" s="80"/>
      <c r="G100" s="80"/>
      <c r="H100" s="80"/>
    </row>
    <row r="101" spans="1:8" s="6" customFormat="1" ht="15" customHeight="1">
      <c r="A101" s="80" t="s">
        <v>85</v>
      </c>
      <c r="B101" s="80"/>
      <c r="C101" s="80"/>
      <c r="D101" s="37"/>
      <c r="E101" s="37"/>
      <c r="F101" s="37"/>
      <c r="G101" s="37"/>
      <c r="H101" s="37"/>
    </row>
    <row r="102" spans="1:8" ht="15.75">
      <c r="A102" s="79"/>
      <c r="B102" s="79"/>
      <c r="C102" s="79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2025-10-08T07:22:10Z</cp:lastPrinted>
  <dcterms:created xsi:type="dcterms:W3CDTF">2024-07-04T10:52:00Z</dcterms:created>
  <dcterms:modified xsi:type="dcterms:W3CDTF">2025-10-08T07:22:11Z</dcterms:modified>
</cp:coreProperties>
</file>