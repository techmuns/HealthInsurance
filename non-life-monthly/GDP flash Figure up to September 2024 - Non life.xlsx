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4-25\GDP Flash figures\GDP FLASH SEPT\"/>
    </mc:Choice>
  </mc:AlternateContent>
  <bookViews>
    <workbookView xWindow="0" yWindow="0" windowWidth="28800" windowHeight="11910"/>
  </bookViews>
  <sheets>
    <sheet name="Website" sheetId="2" r:id="rId1"/>
  </sheets>
  <definedNames>
    <definedName name="_xlnm._FilterDatabase" localSheetId="0" hidden="1">Website!$A$59:$H$100</definedName>
    <definedName name="New_India" localSheetId="0">Website!$C$81:$F$84</definedName>
    <definedName name="New_India">#REF!</definedName>
    <definedName name="_xlnm.Print_Area" localSheetId="0">Website!$A$2:$H$100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2" l="1"/>
  <c r="E45" i="2"/>
  <c r="D45" i="2"/>
  <c r="C45" i="2"/>
  <c r="D93" i="2"/>
  <c r="E93" i="2"/>
  <c r="F93" i="2"/>
  <c r="C93" i="2"/>
  <c r="H84" i="2" l="1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89" i="2"/>
  <c r="H88" i="2"/>
  <c r="H87" i="2"/>
  <c r="H91" i="2"/>
  <c r="H45" i="2"/>
  <c r="H43" i="2"/>
  <c r="H41" i="2"/>
  <c r="H40" i="2"/>
  <c r="H39" i="2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12" i="2"/>
  <c r="F48" i="2" l="1"/>
  <c r="E48" i="2"/>
  <c r="D48" i="2"/>
  <c r="C48" i="2"/>
  <c r="F37" i="2"/>
  <c r="E37" i="2"/>
  <c r="D37" i="2"/>
  <c r="C37" i="2"/>
  <c r="C96" i="2"/>
  <c r="C49" i="2" l="1"/>
  <c r="D49" i="2"/>
  <c r="E49" i="2"/>
  <c r="G44" i="2" s="1"/>
  <c r="F49" i="2"/>
  <c r="H49" i="2"/>
  <c r="H48" i="2"/>
  <c r="H47" i="2"/>
  <c r="H46" i="2"/>
  <c r="G27" i="2" l="1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39" i="2"/>
  <c r="G19" i="2"/>
  <c r="G40" i="2"/>
  <c r="G20" i="2"/>
  <c r="G41" i="2"/>
  <c r="G21" i="2"/>
  <c r="G42" i="2"/>
  <c r="G22" i="2"/>
  <c r="G43" i="2"/>
  <c r="G23" i="2"/>
  <c r="G24" i="2"/>
  <c r="G46" i="2"/>
  <c r="G25" i="2"/>
  <c r="G47" i="2"/>
  <c r="G26" i="2"/>
  <c r="H86" i="2"/>
  <c r="H94" i="2"/>
  <c r="H95" i="2"/>
  <c r="D96" i="2"/>
  <c r="E96" i="2"/>
  <c r="F96" i="2"/>
  <c r="D85" i="2"/>
  <c r="E85" i="2"/>
  <c r="F85" i="2"/>
  <c r="C85" i="2"/>
  <c r="C97" i="2" l="1"/>
  <c r="F97" i="2"/>
  <c r="H96" i="2"/>
  <c r="D97" i="2"/>
  <c r="H93" i="2"/>
  <c r="H85" i="2"/>
  <c r="E97" i="2"/>
  <c r="G92" i="2" s="1"/>
  <c r="G94" i="2"/>
  <c r="G95" i="2"/>
  <c r="G96" i="2"/>
  <c r="G60" i="2" l="1"/>
  <c r="G48" i="2"/>
  <c r="G49" i="2"/>
  <c r="G45" i="2"/>
  <c r="G37" i="2"/>
  <c r="G85" i="2"/>
  <c r="G78" i="2"/>
  <c r="G91" i="2"/>
  <c r="G66" i="2"/>
  <c r="G82" i="2"/>
  <c r="G80" i="2"/>
  <c r="G76" i="2"/>
  <c r="G75" i="2"/>
  <c r="G73" i="2"/>
  <c r="G74" i="2"/>
  <c r="G72" i="2"/>
  <c r="G71" i="2"/>
  <c r="G70" i="2"/>
  <c r="G69" i="2"/>
  <c r="G68" i="2"/>
  <c r="G88" i="2"/>
  <c r="G64" i="2"/>
  <c r="H97" i="2"/>
  <c r="G77" i="2"/>
  <c r="G67" i="2"/>
  <c r="G89" i="2"/>
  <c r="G83" i="2"/>
  <c r="G62" i="2"/>
  <c r="G97" i="2"/>
  <c r="G79" i="2"/>
  <c r="G65" i="2"/>
  <c r="G63" i="2"/>
  <c r="G81" i="2"/>
  <c r="G61" i="2"/>
  <c r="G93" i="2"/>
  <c r="G86" i="2"/>
  <c r="G87" i="2"/>
  <c r="G84" i="2"/>
</calcChain>
</file>

<file path=xl/sharedStrings.xml><?xml version="1.0" encoding="utf-8"?>
<sst xmlns="http://schemas.openxmlformats.org/spreadsheetml/2006/main" count="124" uniqueCount="107">
  <si>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</si>
  <si>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</si>
  <si>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</si>
  <si>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</si>
  <si>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</si>
  <si>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</si>
  <si>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</si>
  <si>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</si>
  <si>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</si>
  <si>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</si>
  <si>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</si>
  <si>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</si>
  <si>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</si>
  <si>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</si>
  <si>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</si>
  <si>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</si>
  <si>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</si>
  <si>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</si>
  <si>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</si>
  <si>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</si>
  <si>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</si>
  <si>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Magma HDI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</si>
  <si>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</si>
  <si>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</si>
  <si>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</si>
  <si>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</si>
  <si>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</si>
  <si>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</si>
  <si>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</si>
  <si>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</si>
  <si>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</si>
  <si>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</si>
  <si>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</si>
  <si>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</si>
  <si>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</si>
  <si>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</si>
  <si>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</si>
  <si>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</si>
  <si>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</si>
  <si>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</si>
  <si>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</si>
  <si>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</si>
  <si>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</si>
  <si>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</si>
  <si>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</si>
  <si>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</si>
  <si>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</si>
  <si>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</si>
  <si>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</si>
  <si>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</si>
  <si>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मैग्मा एचडीआई जनरल इंश्योरेंस कंपनी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</si>
  <si>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</si>
  <si>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</si>
  <si>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</si>
  <si>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</si>
  <si>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</si>
  <si>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</si>
  <si>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</si>
  <si>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</si>
  <si>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</si>
  <si>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</si>
  <si>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</si>
  <si>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</si>
  <si>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</si>
  <si>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</si>
  <si>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</si>
  <si>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</si>
  <si>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</si>
  <si>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</si>
  <si>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</si>
  <si>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</si>
  <si>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</si>
  <si>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</si>
  <si>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</si>
  <si>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</si>
  <si>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</si>
  <si>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</si>
  <si>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</si>
  <si>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</si>
  <si>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</si>
  <si>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</si>
  <si>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</si>
  <si>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</si>
  <si>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</si>
  <si>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</si>
  <si>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</si>
  <si>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</si>
  <si>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</si>
  <si>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</si>
  <si>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</si>
  <si>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</si>
  <si>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</si>
  <si>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</si>
  <si>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</si>
  <si>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</si>
  <si>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सितम्बर , 2024 माह और तक के लिए सकल प्रत्यक्ष प्रीमियम अधिग्रहण</t>
  </si>
  <si>
    <t>सितम्बर  माह के लिए</t>
  </si>
  <si>
    <t>सितम्बर  माह तक</t>
  </si>
  <si>
    <t>सितम्बर , 2024 माह तक बाजार शेयर  (%)</t>
  </si>
  <si>
    <t>GROSS DIRECT PREMIUM UNDERWRITTEN FOR AND UPTO THE MONTH  OF SEPTEMBER, 2024</t>
  </si>
  <si>
    <t>For the Month of SEPT</t>
  </si>
  <si>
    <t>Upto the Month of SEPT</t>
  </si>
  <si>
    <t>Market Share upto the Month of Sept, 2024 (%)</t>
  </si>
  <si>
    <t>`0</t>
  </si>
  <si>
    <t>Narayana Health Insurance Limited</t>
  </si>
  <si>
    <t>-</t>
  </si>
  <si>
    <t>नारायना  हेल्थ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</si>
</sst>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center"/>
    </xf>
    <xf numFmtId="0" fontId="21" fillId="0" borderId="0" xfId="3" quotePrefix="1" applyFont="1" applyFill="1" applyBorder="1" applyAlignment="1">
      <alignment vertical="center"/>
    </xf>
    <xf numFmtId="0" fontId="15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1" fontId="15" fillId="0" borderId="0" xfId="3" applyNumberFormat="1" applyFont="1" applyFill="1" applyBorder="1" applyAlignment="1">
      <alignment horizontal="center" vertical="center"/>
    </xf>
    <xf numFmtId="2" fontId="21" fillId="0" borderId="0" xfId="3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vertical="center"/>
    </xf>
    <xf numFmtId="164" fontId="22" fillId="0" borderId="1" xfId="1" applyFont="1" applyFill="1" applyBorder="1" applyAlignment="1">
      <alignment vertical="center" wrapText="1"/>
    </xf>
    <xf numFmtId="164" fontId="22" fillId="0" borderId="1" xfId="1" applyFont="1" applyFill="1" applyBorder="1" applyAlignment="1">
      <alignment horizontal="left" vertical="center" wrapText="1"/>
    </xf>
    <xf numFmtId="164" fontId="7" fillId="0" borderId="1" xfId="1" applyFont="1" applyFill="1" applyBorder="1" applyAlignment="1">
      <alignment horizontal="right" vertical="center"/>
    </xf>
    <xf numFmtId="0" fontId="22" fillId="0" borderId="1" xfId="3" quotePrefix="1" applyFont="1" applyFill="1" applyBorder="1" applyAlignment="1">
      <alignment vertical="center"/>
    </xf>
    <xf numFmtId="2" fontId="28" fillId="0" borderId="0" xfId="3" applyNumberFormat="1" applyFont="1" applyBorder="1" applyAlignment="1">
      <alignment vertical="center"/>
    </xf>
    <xf numFmtId="2" fontId="24" fillId="0" borderId="0" xfId="0" applyNumberFormat="1" applyFont="1" applyAlignment="1">
      <alignment horizontal="right"/>
    </xf>
    <xf numFmtId="2" fontId="28" fillId="0" borderId="0" xfId="3" applyNumberFormat="1" applyFont="1" applyBorder="1" applyAlignment="1">
      <alignment horizontal="right" vertical="center"/>
    </xf>
    <xf numFmtId="164" fontId="7" fillId="0" borderId="1" xfId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0" fontId="24" fillId="0" borderId="0" xfId="0" applyNumberFormat="1" applyFont="1" applyBorder="1" applyAlignment="1">
      <alignment horizontal="right"/>
    </xf>
    <xf numFmtId="10" fontId="27" fillId="0" borderId="0" xfId="0" applyNumberFormat="1" applyFont="1" applyBorder="1" applyAlignment="1">
      <alignment horizontal="right"/>
    </xf>
    <xf numFmtId="2" fontId="24" fillId="0" borderId="0" xfId="0" applyNumberFormat="1" applyFont="1" applyAlignment="1">
      <alignment vertical="center"/>
    </xf>
    <xf numFmtId="10" fontId="24" fillId="0" borderId="0" xfId="0" applyNumberFormat="1" applyFont="1" applyBorder="1" applyAlignment="1">
      <alignment vertical="center"/>
    </xf>
    <xf numFmtId="43" fontId="25" fillId="0" borderId="1" xfId="0" applyNumberFormat="1" applyFont="1" applyBorder="1" applyAlignment="1">
      <alignment vertical="center"/>
    </xf>
    <xf numFmtId="10" fontId="25" fillId="0" borderId="1" xfId="0" applyNumberFormat="1" applyFont="1" applyBorder="1" applyAlignment="1">
      <alignment vertical="center"/>
    </xf>
    <xf numFmtId="10" fontId="27" fillId="0" borderId="0" xfId="0" applyNumberFormat="1" applyFont="1" applyBorder="1" applyAlignment="1">
      <alignment vertical="center"/>
    </xf>
    <xf numFmtId="164" fontId="26" fillId="0" borderId="1" xfId="1" applyFont="1" applyFill="1" applyBorder="1" applyAlignment="1">
      <alignment vertical="center"/>
    </xf>
    <xf numFmtId="0" fontId="22" fillId="0" borderId="2" xfId="3" quotePrefix="1" applyFont="1" applyFill="1" applyBorder="1" applyAlignment="1">
      <alignment vertical="center"/>
    </xf>
    <xf numFmtId="2" fontId="24" fillId="0" borderId="0" xfId="0" applyNumberFormat="1" applyFont="1" applyAlignment="1">
      <alignment horizontal="right" vertical="center"/>
    </xf>
    <xf numFmtId="43" fontId="25" fillId="0" borderId="1" xfId="0" applyNumberFormat="1" applyFont="1" applyBorder="1" applyAlignment="1">
      <alignment horizontal="right" vertical="center"/>
    </xf>
    <xf numFmtId="10" fontId="25" fillId="0" borderId="1" xfId="0" applyNumberFormat="1" applyFont="1" applyBorder="1" applyAlignment="1">
      <alignment horizontal="right" vertical="center"/>
    </xf>
    <xf numFmtId="164" fontId="26" fillId="0" borderId="1" xfId="1" applyFont="1" applyFill="1" applyBorder="1" applyAlignment="1">
      <alignment horizontal="right" vertical="center"/>
    </xf>
    <xf numFmtId="0" fontId="16" fillId="0" borderId="0" xfId="3" applyFont="1" applyFill="1" applyBorder="1" applyAlignment="1">
      <alignment horizontal="center" vertical="center"/>
    </xf>
    <xf numFmtId="0" fontId="6" fillId="0" borderId="3" xfId="3" applyFont="1" applyBorder="1" applyAlignment="1">
      <alignment vertical="center"/>
    </xf>
    <xf numFmtId="0" fontId="15" fillId="0" borderId="3" xfId="3" applyFont="1" applyFill="1" applyBorder="1" applyAlignment="1">
      <alignment vertical="center"/>
    </xf>
    <xf numFmtId="0" fontId="15" fillId="0" borderId="2" xfId="3" applyFont="1" applyFill="1" applyBorder="1" applyAlignment="1">
      <alignment horizontal="center"/>
    </xf>
    <xf numFmtId="0" fontId="15" fillId="0" borderId="2" xfId="3" applyFont="1" applyFill="1" applyBorder="1" applyAlignment="1">
      <alignment horizontal="right"/>
    </xf>
    <xf numFmtId="10" fontId="25" fillId="0" borderId="1" xfId="0" applyNumberFormat="1" applyFont="1" applyBorder="1" applyAlignment="1">
      <alignment horizontal="right"/>
    </xf>
    <xf numFmtId="0" fontId="13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center" wrapText="1"/>
    </xf>
    <xf numFmtId="0" fontId="16" fillId="0" borderId="0" xfId="3" applyFont="1" applyFill="1" applyBorder="1" applyAlignment="1">
      <alignment horizontal="center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 wrapText="1"/>
    </xf>
    <xf numFmtId="0" fontId="14" fillId="0" borderId="0" xfId="3" quotePrefix="1" applyFont="1" applyFill="1" applyBorder="1" applyAlignment="1">
      <alignment horizontal="center"/>
    </xf>
    <xf numFmtId="0" fontId="13" fillId="0" borderId="0" xfId="3" applyFont="1" applyFill="1" applyBorder="1" applyAlignment="1">
      <alignment horizontal="center" vertical="center"/>
    </xf>
    <xf numFmtId="0" fontId="15" fillId="0" borderId="3" xfId="3" applyFont="1" applyFill="1" applyBorder="1" applyAlignment="1">
      <alignment horizontal="center"/>
    </xf>
    <xf numFmtId="0" fontId="15" fillId="0" borderId="3" xfId="3" quotePrefix="1" applyFont="1" applyFill="1" applyBorder="1" applyAlignment="1">
      <alignment horizontal="center" vertical="center" wrapText="1"/>
    </xf>
    <xf numFmtId="0" fontId="15" fillId="0" borderId="0" xfId="3" quotePrefix="1" applyFont="1" applyFill="1" applyBorder="1" applyAlignment="1">
      <alignment horizontal="center" vertical="center" wrapText="1"/>
    </xf>
    <xf numFmtId="0" fontId="15" fillId="0" borderId="2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10" fontId="24" fillId="0" borderId="0" xfId="0" applyNumberFormat="1" applyFont="1" applyBorder="1" applyAlignment="1">
      <alignment horizontal="right" vertical="center"/>
    </xf>
  </cellXfs>
  <cellStyles count="6">
    <cellStyle name="Comma" xfId="1" builtinId="3"/>
    <cellStyle name="Comma 2 18" xfId="5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2"/>
  <sheetViews>
    <sheetView tabSelected="1" view="pageBreakPreview" topLeftCell="A79" zoomScale="85" zoomScaleNormal="98" zoomScaleSheetLayoutView="85" workbookViewId="0">
      <selection activeCell="K98" sqref="K98"/>
    </sheetView>
  </sheetViews>
  <sheetFormatPr defaultRowHeight="12.75"/>
  <cols>
    <col min="1" max="1" width="12.85546875" style="7" customWidth="1"/>
    <col min="2" max="2" width="101.85546875" style="23" customWidth="1"/>
    <col min="3" max="4" width="22.140625" style="22" bestFit="1" customWidth="1"/>
    <col min="5" max="6" width="25.5703125" style="22" bestFit="1" customWidth="1"/>
    <col min="7" max="7" width="28" style="1" customWidth="1"/>
    <col min="8" max="8" width="30.71093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92" t="s">
        <v>32</v>
      </c>
      <c r="B2" s="92"/>
      <c r="C2" s="92"/>
      <c r="D2" s="92"/>
      <c r="E2" s="92"/>
      <c r="F2" s="92"/>
      <c r="G2" s="92"/>
      <c r="H2" s="92"/>
    </row>
    <row r="3" spans="1:8" s="2" customFormat="1" ht="36" customHeight="1">
      <c r="A3" s="84" t="s">
        <v>33</v>
      </c>
      <c r="B3" s="84"/>
      <c r="C3" s="84"/>
      <c r="D3" s="84"/>
      <c r="E3" s="84"/>
      <c r="F3" s="84"/>
      <c r="G3" s="84"/>
      <c r="H3" s="84"/>
    </row>
    <row r="4" spans="1:8" s="2" customFormat="1" ht="36" customHeight="1">
      <c r="A4" s="91" t="s">
        <v>95</v>
      </c>
      <c r="B4" s="91"/>
      <c r="C4" s="91"/>
      <c r="D4" s="91"/>
      <c r="E4" s="91"/>
      <c r="F4" s="91"/>
      <c r="G4" s="91"/>
      <c r="H4" s="91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79"/>
      <c r="B6" s="80"/>
      <c r="C6" s="93" t="s">
        <v>34</v>
      </c>
      <c r="D6" s="93"/>
      <c r="E6" s="93"/>
      <c r="F6" s="93"/>
      <c r="G6" s="94" t="s">
        <v>98</v>
      </c>
      <c r="H6" s="94" t="s">
        <v>35</v>
      </c>
    </row>
    <row r="7" spans="1:8" s="4" customFormat="1" ht="11.25" customHeight="1">
      <c r="B7" s="30"/>
      <c r="C7" s="90" t="s">
        <v>36</v>
      </c>
      <c r="D7" s="90"/>
      <c r="E7" s="90"/>
      <c r="F7" s="90"/>
      <c r="G7" s="95"/>
      <c r="H7" s="95"/>
    </row>
    <row r="8" spans="1:8" s="32" customFormat="1" ht="32.25" customHeight="1">
      <c r="A8" s="78"/>
      <c r="B8" s="31"/>
      <c r="C8" s="97" t="s">
        <v>96</v>
      </c>
      <c r="D8" s="97"/>
      <c r="E8" s="97" t="s">
        <v>97</v>
      </c>
      <c r="F8" s="97"/>
      <c r="G8" s="95"/>
      <c r="H8" s="95"/>
    </row>
    <row r="9" spans="1:8" s="33" customFormat="1" ht="9" customHeight="1">
      <c r="A9" s="78"/>
      <c r="B9" s="31"/>
      <c r="C9" s="90" t="s">
        <v>37</v>
      </c>
      <c r="D9" s="90"/>
      <c r="E9" s="90" t="s">
        <v>36</v>
      </c>
      <c r="F9" s="90"/>
      <c r="G9" s="95"/>
      <c r="H9" s="95"/>
    </row>
    <row r="10" spans="1:8" s="34" customFormat="1" ht="37.5" customHeight="1">
      <c r="A10" s="81" t="s">
        <v>38</v>
      </c>
      <c r="B10" s="81" t="s">
        <v>39</v>
      </c>
      <c r="C10" s="82" t="s">
        <v>0</v>
      </c>
      <c r="D10" s="82" t="s">
        <v>1</v>
      </c>
      <c r="E10" s="82" t="s">
        <v>0</v>
      </c>
      <c r="F10" s="82" t="s">
        <v>1</v>
      </c>
      <c r="G10" s="96"/>
      <c r="H10" s="96"/>
    </row>
    <row r="11" spans="1:8" s="3" customFormat="1" ht="13.5" customHeight="1">
      <c r="A11" s="35" t="s">
        <v>36</v>
      </c>
      <c r="B11" s="35" t="s">
        <v>37</v>
      </c>
      <c r="C11" s="36" t="s">
        <v>37</v>
      </c>
      <c r="D11" s="36" t="s">
        <v>36</v>
      </c>
      <c r="E11" s="36" t="s">
        <v>36</v>
      </c>
      <c r="F11" s="36" t="s">
        <v>36</v>
      </c>
      <c r="G11" s="37" t="s">
        <v>36</v>
      </c>
      <c r="H11" s="37" t="s">
        <v>36</v>
      </c>
    </row>
    <row r="12" spans="1:8" s="4" customFormat="1" ht="25.5">
      <c r="A12" s="38">
        <v>1</v>
      </c>
      <c r="B12" s="39" t="s">
        <v>40</v>
      </c>
      <c r="C12" s="74">
        <v>176.8425474</v>
      </c>
      <c r="D12" s="74">
        <v>152.5496641</v>
      </c>
      <c r="E12" s="74">
        <v>1040.7999201</v>
      </c>
      <c r="F12" s="74">
        <v>870.70923919999996</v>
      </c>
      <c r="G12" s="65">
        <f>E12/$E$49</f>
        <v>6.7633799000085771E-3</v>
      </c>
      <c r="H12" s="65">
        <f>((E12-F12)/F12)</f>
        <v>0.19534727925510229</v>
      </c>
    </row>
    <row r="13" spans="1:8" s="4" customFormat="1" ht="25.5">
      <c r="A13" s="38">
        <v>2</v>
      </c>
      <c r="B13" s="39" t="s">
        <v>41</v>
      </c>
      <c r="C13" s="74">
        <v>1689.1713658000006</v>
      </c>
      <c r="D13" s="74">
        <v>1827.9724002</v>
      </c>
      <c r="E13" s="74">
        <v>10557.155313800002</v>
      </c>
      <c r="F13" s="74">
        <v>11056.7854967</v>
      </c>
      <c r="G13" s="65">
        <f>E13/$E$49</f>
        <v>6.8603052970799008E-2</v>
      </c>
      <c r="H13" s="65">
        <f t="shared" ref="H13:H45" si="0">((E13-F13)/F13)</f>
        <v>-4.5187652690659302E-2</v>
      </c>
    </row>
    <row r="14" spans="1:8" s="4" customFormat="1" ht="25.5">
      <c r="A14" s="38">
        <v>3</v>
      </c>
      <c r="B14" s="39" t="s">
        <v>42</v>
      </c>
      <c r="C14" s="74">
        <v>757.34</v>
      </c>
      <c r="D14" s="74">
        <v>688.34</v>
      </c>
      <c r="E14" s="74">
        <v>4091.9</v>
      </c>
      <c r="F14" s="74">
        <v>3670.2700000000004</v>
      </c>
      <c r="G14" s="65">
        <f>E14/$E$49</f>
        <v>2.6590196327249984E-2</v>
      </c>
      <c r="H14" s="65">
        <f t="shared" si="0"/>
        <v>0.11487710713380749</v>
      </c>
    </row>
    <row r="15" spans="1:8" s="4" customFormat="1" ht="25.5">
      <c r="A15" s="38">
        <v>4</v>
      </c>
      <c r="B15" s="39" t="s">
        <v>43</v>
      </c>
      <c r="C15" s="74">
        <v>301.85297473693953</v>
      </c>
      <c r="D15" s="74">
        <v>347.27719169902309</v>
      </c>
      <c r="E15" s="74">
        <v>2714.9356206798452</v>
      </c>
      <c r="F15" s="74">
        <v>2270.2617667820386</v>
      </c>
      <c r="G15" s="65">
        <f>E15/$E$49</f>
        <v>1.7642335142530701E-2</v>
      </c>
      <c r="H15" s="65">
        <f t="shared" si="0"/>
        <v>0.19586897881300505</v>
      </c>
    </row>
    <row r="16" spans="1:8" s="4" customFormat="1" ht="25.5">
      <c r="A16" s="38">
        <v>5</v>
      </c>
      <c r="B16" s="39" t="s">
        <v>44</v>
      </c>
      <c r="C16" s="74">
        <v>694.37</v>
      </c>
      <c r="D16" s="74">
        <v>658.43</v>
      </c>
      <c r="E16" s="74">
        <v>4376.6186862760005</v>
      </c>
      <c r="F16" s="74">
        <v>3924.5645335229997</v>
      </c>
      <c r="G16" s="65">
        <f>E16/$E$49</f>
        <v>2.8440370028004047E-2</v>
      </c>
      <c r="H16" s="65">
        <f t="shared" si="0"/>
        <v>0.11518581205421058</v>
      </c>
    </row>
    <row r="17" spans="1:8" s="4" customFormat="1" ht="25.5">
      <c r="A17" s="38">
        <v>6</v>
      </c>
      <c r="B17" s="39" t="s">
        <v>45</v>
      </c>
      <c r="C17" s="74">
        <v>1732.7533627049172</v>
      </c>
      <c r="D17" s="74">
        <v>1831.9178567419999</v>
      </c>
      <c r="E17" s="74">
        <v>8881.2918722050908</v>
      </c>
      <c r="F17" s="74">
        <v>8721.739770446</v>
      </c>
      <c r="G17" s="65">
        <f>E17/$E$49</f>
        <v>5.7712870432205805E-2</v>
      </c>
      <c r="H17" s="65">
        <f t="shared" si="0"/>
        <v>1.829360952728035E-2</v>
      </c>
    </row>
    <row r="18" spans="1:8" s="4" customFormat="1" ht="25.5">
      <c r="A18" s="38">
        <v>7</v>
      </c>
      <c r="B18" s="39" t="s">
        <v>46</v>
      </c>
      <c r="C18" s="74">
        <v>1818.4379296550007</v>
      </c>
      <c r="D18" s="74">
        <v>1755.21</v>
      </c>
      <c r="E18" s="74">
        <v>14408.803918745003</v>
      </c>
      <c r="F18" s="74">
        <v>12472.5</v>
      </c>
      <c r="G18" s="65">
        <f>E18/$E$49</f>
        <v>9.3632035250196366E-2</v>
      </c>
      <c r="H18" s="65">
        <f t="shared" si="0"/>
        <v>0.15524585437923458</v>
      </c>
    </row>
    <row r="19" spans="1:8" s="4" customFormat="1" ht="25.5">
      <c r="A19" s="38">
        <v>8</v>
      </c>
      <c r="B19" s="39" t="s">
        <v>47</v>
      </c>
      <c r="C19" s="67">
        <v>688.01953178600002</v>
      </c>
      <c r="D19" s="67">
        <v>1060.281178251</v>
      </c>
      <c r="E19" s="67">
        <v>4030.4778914299995</v>
      </c>
      <c r="F19" s="67">
        <v>5086.5533749569995</v>
      </c>
      <c r="G19" s="65">
        <f>E19/$E$49</f>
        <v>2.6191060002875004E-2</v>
      </c>
      <c r="H19" s="65">
        <f t="shared" si="0"/>
        <v>-0.20762103642251228</v>
      </c>
    </row>
    <row r="20" spans="1:8" s="4" customFormat="1" ht="25.5">
      <c r="A20" s="38">
        <v>9</v>
      </c>
      <c r="B20" s="39" t="s">
        <v>48</v>
      </c>
      <c r="C20" s="74">
        <v>49.971992755946999</v>
      </c>
      <c r="D20" s="74">
        <v>265.974868598</v>
      </c>
      <c r="E20" s="74">
        <v>427.18353617208703</v>
      </c>
      <c r="F20" s="74">
        <v>268.00928413600002</v>
      </c>
      <c r="G20" s="65">
        <f>E20/$E$49</f>
        <v>2.7759461606062436E-3</v>
      </c>
      <c r="H20" s="65">
        <f t="shared" si="0"/>
        <v>0.59391320173563389</v>
      </c>
    </row>
    <row r="21" spans="1:8" s="4" customFormat="1" ht="25.5">
      <c r="A21" s="38">
        <v>10</v>
      </c>
      <c r="B21" s="39" t="s">
        <v>49</v>
      </c>
      <c r="C21" s="74">
        <v>184.59023321999601</v>
      </c>
      <c r="D21" s="74">
        <v>179.91100830399731</v>
      </c>
      <c r="E21" s="74">
        <v>1134.5428082599717</v>
      </c>
      <c r="F21" s="74">
        <v>1108.6322273479875</v>
      </c>
      <c r="G21" s="65">
        <f>E21/$E$49</f>
        <v>7.3725447868477189E-3</v>
      </c>
      <c r="H21" s="65">
        <f t="shared" si="0"/>
        <v>2.3371664897353872E-2</v>
      </c>
    </row>
    <row r="22" spans="1:8" s="4" customFormat="1" ht="25.5">
      <c r="A22" s="38">
        <v>11</v>
      </c>
      <c r="B22" s="39" t="s">
        <v>50</v>
      </c>
      <c r="C22" s="74">
        <v>206.7534872</v>
      </c>
      <c r="D22" s="74">
        <v>203.73681506</v>
      </c>
      <c r="E22" s="74">
        <v>1506.7744027560002</v>
      </c>
      <c r="F22" s="74">
        <v>1230.4237676390001</v>
      </c>
      <c r="G22" s="65">
        <f>E22/$E$49</f>
        <v>9.7913993964067747E-3</v>
      </c>
      <c r="H22" s="65">
        <f t="shared" si="0"/>
        <v>0.22459793315540047</v>
      </c>
    </row>
    <row r="23" spans="1:8" s="4" customFormat="1" ht="25.5">
      <c r="A23" s="38">
        <v>12</v>
      </c>
      <c r="B23" s="39" t="s">
        <v>51</v>
      </c>
      <c r="C23" s="74">
        <v>1576.7200000000003</v>
      </c>
      <c r="D23" s="74">
        <v>2314.84</v>
      </c>
      <c r="E23" s="74">
        <v>7864.0000000000009</v>
      </c>
      <c r="F23" s="74">
        <v>8351.6025847000001</v>
      </c>
      <c r="G23" s="65">
        <f>E23/$E$49</f>
        <v>5.1102251745520147E-2</v>
      </c>
      <c r="H23" s="65">
        <f t="shared" si="0"/>
        <v>-5.8384313639789229E-2</v>
      </c>
    </row>
    <row r="24" spans="1:8" s="4" customFormat="1" ht="25.5">
      <c r="A24" s="38">
        <v>13</v>
      </c>
      <c r="B24" s="39" t="s">
        <v>52</v>
      </c>
      <c r="C24" s="74">
        <v>4.8179753625252504</v>
      </c>
      <c r="D24" s="74">
        <v>5.0227264259417082</v>
      </c>
      <c r="E24" s="74">
        <v>26.65303256562645</v>
      </c>
      <c r="F24" s="74">
        <v>32.334623433470725</v>
      </c>
      <c r="G24" s="65">
        <f>E24/$E$49</f>
        <v>1.7319811545653477E-4</v>
      </c>
      <c r="H24" s="65">
        <f t="shared" si="0"/>
        <v>-0.17571229426977203</v>
      </c>
    </row>
    <row r="25" spans="1:8" s="4" customFormat="1" ht="25.5">
      <c r="A25" s="38">
        <v>14</v>
      </c>
      <c r="B25" s="39" t="s">
        <v>53</v>
      </c>
      <c r="C25" s="74">
        <v>40.020824329001179</v>
      </c>
      <c r="D25" s="74">
        <v>23.222136025000005</v>
      </c>
      <c r="E25" s="74">
        <v>244.56878930100336</v>
      </c>
      <c r="F25" s="74">
        <v>88.592495453002783</v>
      </c>
      <c r="G25" s="65">
        <f>E25/$E$49</f>
        <v>1.5892695625581061E-3</v>
      </c>
      <c r="H25" s="65">
        <f t="shared" si="0"/>
        <v>1.7606039095122235</v>
      </c>
    </row>
    <row r="26" spans="1:8" s="4" customFormat="1" ht="25.5">
      <c r="A26" s="38">
        <v>15</v>
      </c>
      <c r="B26" s="39" t="s">
        <v>54</v>
      </c>
      <c r="C26" s="74">
        <v>1962.3134611466533</v>
      </c>
      <c r="D26" s="74">
        <v>1775.964674079755</v>
      </c>
      <c r="E26" s="74">
        <v>7279.8724669055755</v>
      </c>
      <c r="F26" s="74">
        <v>6449.0222900439576</v>
      </c>
      <c r="G26" s="65">
        <f>E26/$E$49</f>
        <v>4.7306443982590214E-2</v>
      </c>
      <c r="H26" s="65">
        <f t="shared" si="0"/>
        <v>0.12883350987083575</v>
      </c>
    </row>
    <row r="27" spans="1:8" s="4" customFormat="1" ht="25.5">
      <c r="A27" s="38">
        <v>16</v>
      </c>
      <c r="B27" s="39" t="s">
        <v>55</v>
      </c>
      <c r="C27" s="74">
        <v>289.92583131752195</v>
      </c>
      <c r="D27" s="74">
        <v>275.81516373528035</v>
      </c>
      <c r="E27" s="74">
        <v>1922.5769507246214</v>
      </c>
      <c r="F27" s="74">
        <v>1686.4097994355925</v>
      </c>
      <c r="G27" s="65">
        <f>E27/$E$49</f>
        <v>1.2493389030526967E-2</v>
      </c>
      <c r="H27" s="65">
        <f t="shared" si="0"/>
        <v>0.14004137746831719</v>
      </c>
    </row>
    <row r="28" spans="1:8" s="4" customFormat="1" ht="25.5">
      <c r="A28" s="38">
        <v>17</v>
      </c>
      <c r="B28" s="39" t="s">
        <v>56</v>
      </c>
      <c r="C28" s="74">
        <v>1389.9514663068103</v>
      </c>
      <c r="D28" s="74">
        <v>1376.9518122657012</v>
      </c>
      <c r="E28" s="74">
        <v>6586.3137770503045</v>
      </c>
      <c r="F28" s="74">
        <v>5691.0131585111758</v>
      </c>
      <c r="G28" s="65">
        <f>E28/$E$49</f>
        <v>4.2799525013963918E-2</v>
      </c>
      <c r="H28" s="65">
        <f t="shared" si="0"/>
        <v>0.15731831812761929</v>
      </c>
    </row>
    <row r="29" spans="1:8" s="4" customFormat="1" ht="25.5">
      <c r="A29" s="38">
        <v>18</v>
      </c>
      <c r="B29" s="39" t="s">
        <v>57</v>
      </c>
      <c r="C29" s="74">
        <v>308.13272725600001</v>
      </c>
      <c r="D29" s="74">
        <v>269.94820432799997</v>
      </c>
      <c r="E29" s="74">
        <v>1593.7860075440001</v>
      </c>
      <c r="F29" s="74">
        <v>1309.839342988</v>
      </c>
      <c r="G29" s="65">
        <f>E29/$E$49</f>
        <v>1.0356822709308362E-2</v>
      </c>
      <c r="H29" s="65">
        <f t="shared" si="0"/>
        <v>0.21677976469103619</v>
      </c>
    </row>
    <row r="30" spans="1:8" s="4" customFormat="1" ht="25.5">
      <c r="A30" s="38">
        <v>19</v>
      </c>
      <c r="B30" s="39" t="s">
        <v>58</v>
      </c>
      <c r="C30" s="74">
        <v>1755.3296631870362</v>
      </c>
      <c r="D30" s="74">
        <v>1314.9978000000001</v>
      </c>
      <c r="E30" s="74">
        <v>8946.4323631870357</v>
      </c>
      <c r="F30" s="74">
        <v>7565.7226000000001</v>
      </c>
      <c r="G30" s="65">
        <f>E30/$E$49</f>
        <v>5.8136169741588577E-2</v>
      </c>
      <c r="H30" s="65">
        <f t="shared" si="0"/>
        <v>0.18249542524689388</v>
      </c>
    </row>
    <row r="31" spans="1:8" s="4" customFormat="1" ht="25.5">
      <c r="A31" s="38">
        <v>20</v>
      </c>
      <c r="B31" s="39" t="s">
        <v>59</v>
      </c>
      <c r="C31" s="74">
        <v>3141.34</v>
      </c>
      <c r="D31" s="74">
        <v>2885.73</v>
      </c>
      <c r="E31" s="74">
        <v>19390.97</v>
      </c>
      <c r="F31" s="74">
        <v>18828.510000000002</v>
      </c>
      <c r="G31" s="65">
        <f>E31/$E$49</f>
        <v>0.12600740469606164</v>
      </c>
      <c r="H31" s="65">
        <f t="shared" si="0"/>
        <v>2.9872783348230906E-2</v>
      </c>
    </row>
    <row r="32" spans="1:8" s="4" customFormat="1" ht="25.5">
      <c r="A32" s="38">
        <v>21</v>
      </c>
      <c r="B32" s="39" t="s">
        <v>60</v>
      </c>
      <c r="C32" s="74">
        <v>2088.7799999999997</v>
      </c>
      <c r="D32" s="74">
        <v>2085.83</v>
      </c>
      <c r="E32" s="74">
        <v>10052.25</v>
      </c>
      <c r="F32" s="74">
        <v>9265.18</v>
      </c>
      <c r="G32" s="65">
        <f>E32/$E$49</f>
        <v>6.5322051132871928E-2</v>
      </c>
      <c r="H32" s="65">
        <f t="shared" si="0"/>
        <v>8.4949240057937317E-2</v>
      </c>
    </row>
    <row r="33" spans="1:8" s="4" customFormat="1" ht="25.5">
      <c r="A33" s="38">
        <v>22</v>
      </c>
      <c r="B33" s="39" t="s">
        <v>61</v>
      </c>
      <c r="C33" s="74">
        <v>1318.87</v>
      </c>
      <c r="D33" s="74">
        <v>1609.72</v>
      </c>
      <c r="E33" s="74">
        <v>10067.700000000001</v>
      </c>
      <c r="F33" s="74">
        <v>9551.74</v>
      </c>
      <c r="G33" s="65">
        <f>E33/$E$49</f>
        <v>6.542244912237706E-2</v>
      </c>
      <c r="H33" s="65">
        <f t="shared" si="0"/>
        <v>5.4017383220230135E-2</v>
      </c>
    </row>
    <row r="34" spans="1:8" s="4" customFormat="1" ht="25.5">
      <c r="A34" s="38">
        <v>23</v>
      </c>
      <c r="B34" s="39" t="s">
        <v>62</v>
      </c>
      <c r="C34" s="74">
        <v>571.78</v>
      </c>
      <c r="D34" s="74">
        <v>613.58000000000004</v>
      </c>
      <c r="E34" s="74">
        <v>2697.4610271559995</v>
      </c>
      <c r="F34" s="74">
        <v>2541.2806968999998</v>
      </c>
      <c r="G34" s="65">
        <f>E34/$E$49</f>
        <v>1.752878083462045E-2</v>
      </c>
      <c r="H34" s="65">
        <f t="shared" si="0"/>
        <v>6.1457331512617806E-2</v>
      </c>
    </row>
    <row r="35" spans="1:8" s="4" customFormat="1" ht="25.5">
      <c r="A35" s="38">
        <v>24</v>
      </c>
      <c r="B35" s="39" t="s">
        <v>63</v>
      </c>
      <c r="C35" s="74">
        <v>73.02</v>
      </c>
      <c r="D35" s="74">
        <v>61.01</v>
      </c>
      <c r="E35" s="74">
        <v>465.73999999999995</v>
      </c>
      <c r="F35" s="74">
        <v>331.63</v>
      </c>
      <c r="G35" s="65">
        <f>E35/$E$49</f>
        <v>3.0264957690689914E-3</v>
      </c>
      <c r="H35" s="65">
        <f t="shared" si="0"/>
        <v>0.40439646594095818</v>
      </c>
    </row>
    <row r="36" spans="1:8" s="4" customFormat="1" ht="25.5">
      <c r="A36" s="38">
        <v>25</v>
      </c>
      <c r="B36" s="39" t="s">
        <v>93</v>
      </c>
      <c r="C36" s="74">
        <v>164.06439176203199</v>
      </c>
      <c r="D36" s="74">
        <v>121.99158875811862</v>
      </c>
      <c r="E36" s="74">
        <v>935.24704931766132</v>
      </c>
      <c r="F36" s="74">
        <v>673.61569226139682</v>
      </c>
      <c r="G36" s="65">
        <f>E36/$E$49</f>
        <v>6.0774707729509183E-3</v>
      </c>
      <c r="H36" s="65">
        <f t="shared" si="0"/>
        <v>0.38839854840367699</v>
      </c>
    </row>
    <row r="37" spans="1:8" s="4" customFormat="1" ht="25.5">
      <c r="A37" s="38"/>
      <c r="B37" s="59" t="s">
        <v>64</v>
      </c>
      <c r="C37" s="75">
        <f>SUM(C12:C36)</f>
        <v>22985.169765926381</v>
      </c>
      <c r="D37" s="75">
        <f t="shared" ref="D37:F37" si="1">SUM(D12:D36)</f>
        <v>23706.225088571817</v>
      </c>
      <c r="E37" s="75">
        <f t="shared" si="1"/>
        <v>131244.05543417583</v>
      </c>
      <c r="F37" s="75">
        <f t="shared" si="1"/>
        <v>123046.94274445763</v>
      </c>
      <c r="G37" s="76">
        <f t="shared" ref="G37" si="2">E37/$E$97</f>
        <v>0.85285691262719399</v>
      </c>
      <c r="H37" s="83">
        <f t="shared" si="0"/>
        <v>6.6617768039486033E-2</v>
      </c>
    </row>
    <row r="38" spans="1:8" s="4" customFormat="1" ht="25.5">
      <c r="A38" s="38">
        <v>26</v>
      </c>
      <c r="B38" s="39" t="s">
        <v>65</v>
      </c>
      <c r="C38" s="74">
        <v>460.8</v>
      </c>
      <c r="D38" s="74">
        <v>316.0360733</v>
      </c>
      <c r="E38" s="74">
        <v>2170.8004172974897</v>
      </c>
      <c r="F38" s="74">
        <v>1560.5055480243682</v>
      </c>
      <c r="G38" s="65">
        <f>E38/$E$49</f>
        <v>1.4106407606054997E-2</v>
      </c>
      <c r="H38" s="65">
        <f t="shared" si="0"/>
        <v>0.39108792022288374</v>
      </c>
    </row>
    <row r="39" spans="1:8" s="4" customFormat="1" ht="25.5">
      <c r="A39" s="38">
        <v>27</v>
      </c>
      <c r="B39" s="39" t="s">
        <v>66</v>
      </c>
      <c r="C39" s="74">
        <v>710.45521521900002</v>
      </c>
      <c r="D39" s="74">
        <v>546.42958306297396</v>
      </c>
      <c r="E39" s="74">
        <v>4159.8380267189996</v>
      </c>
      <c r="F39" s="74">
        <v>3183.9234431629739</v>
      </c>
      <c r="G39" s="65">
        <f>E39/$E$49</f>
        <v>2.7031674728125898E-2</v>
      </c>
      <c r="H39" s="65">
        <f t="shared" si="0"/>
        <v>0.30651320641884922</v>
      </c>
    </row>
    <row r="40" spans="1:8" s="4" customFormat="1" ht="25.5">
      <c r="A40" s="38">
        <v>28</v>
      </c>
      <c r="B40" s="39" t="s">
        <v>67</v>
      </c>
      <c r="C40" s="74">
        <v>145.77400160440038</v>
      </c>
      <c r="D40" s="74">
        <v>129.77477974025166</v>
      </c>
      <c r="E40" s="74">
        <v>831.98816239480732</v>
      </c>
      <c r="F40" s="74">
        <v>746.30138993754679</v>
      </c>
      <c r="G40" s="65">
        <f>E40/$E$49</f>
        <v>5.40646853051782E-3</v>
      </c>
      <c r="H40" s="65">
        <f t="shared" si="0"/>
        <v>0.1148152390074352</v>
      </c>
    </row>
    <row r="41" spans="1:8" s="4" customFormat="1" ht="25.5">
      <c r="A41" s="38">
        <v>29</v>
      </c>
      <c r="B41" s="39" t="s">
        <v>68</v>
      </c>
      <c r="C41" s="74">
        <v>601.519346595</v>
      </c>
      <c r="D41" s="74">
        <v>458.53714953499997</v>
      </c>
      <c r="E41" s="74">
        <v>3241.5133830589998</v>
      </c>
      <c r="F41" s="74">
        <v>2435.684174426</v>
      </c>
      <c r="G41" s="65">
        <f>E41/$E$49</f>
        <v>2.1064170007318625E-2</v>
      </c>
      <c r="H41" s="65">
        <f t="shared" si="0"/>
        <v>0.33084306130243823</v>
      </c>
    </row>
    <row r="42" spans="1:8" s="4" customFormat="1" ht="25.5">
      <c r="A42" s="38"/>
      <c r="B42" s="39" t="s">
        <v>69</v>
      </c>
      <c r="C42" s="62"/>
      <c r="D42" s="62"/>
      <c r="E42" s="62"/>
      <c r="F42" s="62"/>
      <c r="G42" s="65">
        <f>E42/$E$49</f>
        <v>0</v>
      </c>
      <c r="H42" s="66"/>
    </row>
    <row r="43" spans="1:8" s="4" customFormat="1" ht="25.5">
      <c r="A43" s="38">
        <v>30</v>
      </c>
      <c r="B43" s="39" t="s">
        <v>70</v>
      </c>
      <c r="C43" s="74">
        <v>1462.4149072459993</v>
      </c>
      <c r="D43" s="74">
        <v>1240.997198</v>
      </c>
      <c r="E43" s="74">
        <v>7806.7252550460089</v>
      </c>
      <c r="F43" s="74">
        <v>6680.3228279000004</v>
      </c>
      <c r="G43" s="65">
        <f>E43/$E$49</f>
        <v>5.0730066034012089E-2</v>
      </c>
      <c r="H43" s="65">
        <f t="shared" si="0"/>
        <v>0.1686149690912617</v>
      </c>
    </row>
    <row r="44" spans="1:8" s="4" customFormat="1" ht="25.5">
      <c r="A44" s="38">
        <v>31</v>
      </c>
      <c r="B44" s="39" t="s">
        <v>106</v>
      </c>
      <c r="C44" s="74">
        <v>0.03</v>
      </c>
      <c r="D44" s="74">
        <v>0</v>
      </c>
      <c r="E44" s="74">
        <v>0.12</v>
      </c>
      <c r="F44" s="74">
        <v>0</v>
      </c>
      <c r="G44" s="65">
        <f>E44/$E$49</f>
        <v>7.7979020974852703E-7</v>
      </c>
      <c r="H44" s="65" t="s">
        <v>105</v>
      </c>
    </row>
    <row r="45" spans="1:8" s="4" customFormat="1" ht="25.5">
      <c r="A45" s="38"/>
      <c r="B45" s="59" t="s">
        <v>71</v>
      </c>
      <c r="C45" s="77">
        <f>SUM(C38:C44)</f>
        <v>3380.9934706644003</v>
      </c>
      <c r="D45" s="77">
        <f>SUM(D38:D44)</f>
        <v>2691.7747836382259</v>
      </c>
      <c r="E45" s="77">
        <f>SUM(E38:E44)</f>
        <v>18210.985244516305</v>
      </c>
      <c r="F45" s="77">
        <f>SUM(F38:F44)</f>
        <v>14606.737383450889</v>
      </c>
      <c r="G45" s="76">
        <f t="shared" ref="G45" si="3">E45/$E$97</f>
        <v>0.11833956669623917</v>
      </c>
      <c r="H45" s="83">
        <f t="shared" si="0"/>
        <v>0.24675242434008224</v>
      </c>
    </row>
    <row r="46" spans="1:8" s="4" customFormat="1" ht="25.5">
      <c r="A46" s="38">
        <v>32</v>
      </c>
      <c r="B46" s="39" t="s">
        <v>72</v>
      </c>
      <c r="C46" s="74">
        <v>1042.9971362899998</v>
      </c>
      <c r="D46" s="74">
        <v>2926.361354357</v>
      </c>
      <c r="E46" s="74">
        <v>3816.093047585915</v>
      </c>
      <c r="F46" s="74">
        <v>5580.8166435129415</v>
      </c>
      <c r="G46" s="65">
        <f>E46/$E$49</f>
        <v>2.4797933316640972E-2</v>
      </c>
      <c r="H46" s="65">
        <f t="shared" ref="H46:H49" si="4">((E46-F46)/F46)</f>
        <v>-0.31621243066251153</v>
      </c>
    </row>
    <row r="47" spans="1:8" s="4" customFormat="1" ht="25.5">
      <c r="A47" s="38">
        <v>33</v>
      </c>
      <c r="B47" s="39" t="s">
        <v>73</v>
      </c>
      <c r="C47" s="74">
        <v>134.47</v>
      </c>
      <c r="D47" s="74">
        <v>151.69</v>
      </c>
      <c r="E47" s="74">
        <v>616.41</v>
      </c>
      <c r="F47" s="74">
        <v>567.04999999999995</v>
      </c>
      <c r="G47" s="65">
        <f>E47/$E$49</f>
        <v>4.005587359925746E-3</v>
      </c>
      <c r="H47" s="65">
        <f t="shared" si="4"/>
        <v>8.7046997619257591E-2</v>
      </c>
    </row>
    <row r="48" spans="1:8" s="4" customFormat="1" ht="26.25">
      <c r="A48" s="40"/>
      <c r="B48" s="59" t="s">
        <v>74</v>
      </c>
      <c r="C48" s="58">
        <f>SUM(C46:C47)</f>
        <v>1177.4671362899999</v>
      </c>
      <c r="D48" s="58">
        <f t="shared" ref="D48:F48" si="5">SUM(D46:D47)</f>
        <v>3078.051354357</v>
      </c>
      <c r="E48" s="58">
        <f t="shared" si="5"/>
        <v>4432.5030475859148</v>
      </c>
      <c r="F48" s="58">
        <f t="shared" si="5"/>
        <v>6147.8666435129417</v>
      </c>
      <c r="G48" s="76">
        <f>E48/$E$97</f>
        <v>2.8803520676566715E-2</v>
      </c>
      <c r="H48" s="76">
        <f t="shared" si="4"/>
        <v>-0.27901769758409301</v>
      </c>
    </row>
    <row r="49" spans="1:8" s="4" customFormat="1" ht="26.25">
      <c r="A49" s="40"/>
      <c r="B49" s="73" t="s">
        <v>75</v>
      </c>
      <c r="C49" s="55">
        <f>(C37+C45+C48)</f>
        <v>27543.630372880783</v>
      </c>
      <c r="D49" s="55">
        <f t="shared" ref="D49:F49" si="6">(D37+D45+D48)</f>
        <v>29476.051226567044</v>
      </c>
      <c r="E49" s="55">
        <f t="shared" si="6"/>
        <v>153887.54372627806</v>
      </c>
      <c r="F49" s="55">
        <f t="shared" si="6"/>
        <v>143801.54677142145</v>
      </c>
      <c r="G49" s="76">
        <f>E49/$E$97</f>
        <v>1</v>
      </c>
      <c r="H49" s="76">
        <f t="shared" si="4"/>
        <v>7.0138306445957269E-2</v>
      </c>
    </row>
    <row r="50" spans="1:8" s="6" customFormat="1" ht="20.100000000000001" customHeight="1">
      <c r="A50" s="98" t="s">
        <v>76</v>
      </c>
      <c r="B50" s="98"/>
      <c r="C50" s="98"/>
      <c r="D50" s="98"/>
      <c r="E50" s="41"/>
      <c r="F50" s="41"/>
      <c r="G50" s="42"/>
      <c r="H50" s="43"/>
    </row>
    <row r="51" spans="1:8" s="6" customFormat="1" ht="20.100000000000001" customHeight="1">
      <c r="A51" s="99" t="s">
        <v>77</v>
      </c>
      <c r="B51" s="99"/>
      <c r="C51" s="99"/>
      <c r="D51" s="99"/>
      <c r="E51" s="99"/>
      <c r="F51" s="99"/>
      <c r="G51" s="99"/>
      <c r="H51" s="99"/>
    </row>
    <row r="52" spans="1:8" ht="18">
      <c r="A52" s="44"/>
      <c r="B52" s="45"/>
      <c r="C52" s="46"/>
      <c r="D52" s="46"/>
      <c r="E52" s="46"/>
      <c r="F52" s="46"/>
      <c r="G52" s="47"/>
      <c r="H52" s="47"/>
    </row>
    <row r="53" spans="1:8" s="2" customFormat="1" ht="38.1" customHeight="1">
      <c r="A53" s="92" t="s">
        <v>78</v>
      </c>
      <c r="B53" s="92"/>
      <c r="C53" s="92"/>
      <c r="D53" s="92"/>
      <c r="E53" s="92"/>
      <c r="F53" s="92"/>
      <c r="G53" s="92"/>
      <c r="H53" s="92"/>
    </row>
    <row r="54" spans="1:8" s="2" customFormat="1" ht="38.1" customHeight="1">
      <c r="A54" s="84" t="s">
        <v>94</v>
      </c>
      <c r="B54" s="84"/>
      <c r="C54" s="84"/>
      <c r="D54" s="84"/>
      <c r="E54" s="84"/>
      <c r="F54" s="84"/>
      <c r="G54" s="84"/>
      <c r="H54" s="84"/>
    </row>
    <row r="55" spans="1:8" s="2" customFormat="1" ht="38.1" customHeight="1">
      <c r="A55" s="91" t="s">
        <v>99</v>
      </c>
      <c r="B55" s="91"/>
      <c r="C55" s="91"/>
      <c r="D55" s="91"/>
      <c r="E55" s="91"/>
      <c r="F55" s="91"/>
      <c r="G55" s="91"/>
      <c r="H55" s="91"/>
    </row>
    <row r="56" spans="1:8" s="2" customFormat="1" ht="4.5" customHeight="1">
      <c r="A56" s="28"/>
      <c r="B56" s="28"/>
      <c r="C56" s="29"/>
      <c r="D56" s="29"/>
      <c r="E56" s="29"/>
      <c r="F56" s="29"/>
      <c r="G56" s="28"/>
      <c r="H56" s="28"/>
    </row>
    <row r="57" spans="1:8" s="4" customFormat="1" ht="48.75" customHeight="1">
      <c r="B57" s="30"/>
      <c r="C57" s="87" t="s">
        <v>79</v>
      </c>
      <c r="D57" s="87"/>
      <c r="E57" s="87"/>
      <c r="F57" s="87"/>
      <c r="G57" s="88" t="s">
        <v>102</v>
      </c>
      <c r="H57" s="88" t="s">
        <v>80</v>
      </c>
    </row>
    <row r="58" spans="1:8" s="4" customFormat="1" ht="33" customHeight="1">
      <c r="A58" s="89" t="s">
        <v>81</v>
      </c>
      <c r="B58" s="90" t="s">
        <v>82</v>
      </c>
      <c r="C58" s="90" t="s">
        <v>100</v>
      </c>
      <c r="D58" s="90"/>
      <c r="E58" s="90" t="s">
        <v>101</v>
      </c>
      <c r="F58" s="90"/>
      <c r="G58" s="88"/>
      <c r="H58" s="88"/>
    </row>
    <row r="59" spans="1:8" s="49" customFormat="1" ht="39" customHeight="1">
      <c r="A59" s="89" t="s">
        <v>81</v>
      </c>
      <c r="B59" s="90"/>
      <c r="C59" s="48" t="s">
        <v>0</v>
      </c>
      <c r="D59" s="48" t="s">
        <v>1</v>
      </c>
      <c r="E59" s="48" t="s">
        <v>0</v>
      </c>
      <c r="F59" s="48" t="s">
        <v>1</v>
      </c>
      <c r="G59" s="88"/>
      <c r="H59" s="88"/>
    </row>
    <row r="60" spans="1:8" s="4" customFormat="1" ht="24.75" customHeight="1">
      <c r="A60" s="50">
        <v>1</v>
      </c>
      <c r="B60" s="51" t="s">
        <v>24</v>
      </c>
      <c r="C60" s="67">
        <v>176.8425474</v>
      </c>
      <c r="D60" s="67">
        <v>152.5496641</v>
      </c>
      <c r="E60" s="67">
        <v>1040.7999201</v>
      </c>
      <c r="F60" s="67">
        <v>870.70923919999996</v>
      </c>
      <c r="G60" s="68">
        <f>E60/$E$97</f>
        <v>6.7633799000085771E-3</v>
      </c>
      <c r="H60" s="68">
        <f t="shared" ref="H60:H84" si="7">((E60-F60)/F60)</f>
        <v>0.19534727925510229</v>
      </c>
    </row>
    <row r="61" spans="1:8" s="4" customFormat="1" ht="24.75" customHeight="1">
      <c r="A61" s="50">
        <v>2</v>
      </c>
      <c r="B61" s="51" t="s">
        <v>5</v>
      </c>
      <c r="C61" s="67">
        <v>1689.1713658000006</v>
      </c>
      <c r="D61" s="67">
        <v>1827.9724002</v>
      </c>
      <c r="E61" s="67">
        <v>10557.155313800002</v>
      </c>
      <c r="F61" s="67">
        <v>11056.7854967</v>
      </c>
      <c r="G61" s="68">
        <f>E61/$E$97</f>
        <v>6.8603052970799008E-2</v>
      </c>
      <c r="H61" s="68">
        <f t="shared" si="7"/>
        <v>-4.5187652690659302E-2</v>
      </c>
    </row>
    <row r="62" spans="1:8" s="4" customFormat="1" ht="24.75" customHeight="1">
      <c r="A62" s="50">
        <v>3</v>
      </c>
      <c r="B62" s="51" t="s">
        <v>15</v>
      </c>
      <c r="C62" s="67">
        <v>757.34</v>
      </c>
      <c r="D62" s="67">
        <v>688.34</v>
      </c>
      <c r="E62" s="67">
        <v>4091.9</v>
      </c>
      <c r="F62" s="67">
        <v>3670.2700000000004</v>
      </c>
      <c r="G62" s="68">
        <f>E62/$E$97</f>
        <v>2.6590196327249984E-2</v>
      </c>
      <c r="H62" s="68">
        <f t="shared" si="7"/>
        <v>0.11487710713380749</v>
      </c>
    </row>
    <row r="63" spans="1:8" s="4" customFormat="1" ht="24.75" customHeight="1">
      <c r="A63" s="50">
        <v>4</v>
      </c>
      <c r="B63" s="51" t="s">
        <v>17</v>
      </c>
      <c r="C63" s="67">
        <v>301.85297473693953</v>
      </c>
      <c r="D63" s="67">
        <v>347.27719169902309</v>
      </c>
      <c r="E63" s="67">
        <v>2714.9356206798452</v>
      </c>
      <c r="F63" s="67">
        <v>2270.2617667820386</v>
      </c>
      <c r="G63" s="68">
        <f>E63/$E$97</f>
        <v>1.7642335142530701E-2</v>
      </c>
      <c r="H63" s="68">
        <f t="shared" si="7"/>
        <v>0.19586897881300505</v>
      </c>
    </row>
    <row r="64" spans="1:8" s="4" customFormat="1" ht="24.75" customHeight="1">
      <c r="A64" s="50">
        <v>5</v>
      </c>
      <c r="B64" s="51" t="s">
        <v>13</v>
      </c>
      <c r="C64" s="67">
        <v>694.37</v>
      </c>
      <c r="D64" s="67">
        <v>658.43</v>
      </c>
      <c r="E64" s="67">
        <v>4376.6186862760005</v>
      </c>
      <c r="F64" s="67">
        <v>3924.5645335229997</v>
      </c>
      <c r="G64" s="68">
        <f>E64/$E$97</f>
        <v>2.8440370028004047E-2</v>
      </c>
      <c r="H64" s="68">
        <f t="shared" si="7"/>
        <v>0.11518581205421058</v>
      </c>
    </row>
    <row r="65" spans="1:8" s="4" customFormat="1" ht="24.75" customHeight="1">
      <c r="A65" s="50">
        <v>6</v>
      </c>
      <c r="B65" s="51" t="s">
        <v>8</v>
      </c>
      <c r="C65" s="67">
        <v>1732.7533627049172</v>
      </c>
      <c r="D65" s="67">
        <v>1831.9178567419999</v>
      </c>
      <c r="E65" s="67">
        <v>8881.2918722050908</v>
      </c>
      <c r="F65" s="67">
        <v>8721.739770446</v>
      </c>
      <c r="G65" s="68">
        <f>E65/$E$97</f>
        <v>5.7712870432205805E-2</v>
      </c>
      <c r="H65" s="68">
        <f t="shared" si="7"/>
        <v>1.829360952728035E-2</v>
      </c>
    </row>
    <row r="66" spans="1:8" s="4" customFormat="1" ht="24.75" customHeight="1">
      <c r="A66" s="50">
        <v>7</v>
      </c>
      <c r="B66" s="51" t="s">
        <v>3</v>
      </c>
      <c r="C66" s="67">
        <v>1818.4379296550007</v>
      </c>
      <c r="D66" s="67">
        <v>1755.21</v>
      </c>
      <c r="E66" s="67">
        <v>14408.803918745003</v>
      </c>
      <c r="F66" s="67">
        <v>12472.5</v>
      </c>
      <c r="G66" s="68">
        <f>E66/$E$97</f>
        <v>9.3632035250196366E-2</v>
      </c>
      <c r="H66" s="68">
        <f t="shared" si="7"/>
        <v>0.15524585437923458</v>
      </c>
    </row>
    <row r="67" spans="1:8" s="4" customFormat="1" ht="24.75" customHeight="1">
      <c r="A67" s="50">
        <v>8</v>
      </c>
      <c r="B67" s="51" t="s">
        <v>16</v>
      </c>
      <c r="C67" s="67">
        <v>688.01953178600002</v>
      </c>
      <c r="D67" s="67">
        <v>1060.281178251</v>
      </c>
      <c r="E67" s="67">
        <v>4030.4778914299995</v>
      </c>
      <c r="F67" s="67">
        <v>5086.5533749569995</v>
      </c>
      <c r="G67" s="68">
        <f>E67/$E$97</f>
        <v>2.6191060002875004E-2</v>
      </c>
      <c r="H67" s="68">
        <f t="shared" si="7"/>
        <v>-0.20762103642251228</v>
      </c>
    </row>
    <row r="68" spans="1:8" s="4" customFormat="1" ht="24.75" customHeight="1">
      <c r="A68" s="50">
        <v>9</v>
      </c>
      <c r="B68" s="51" t="s">
        <v>27</v>
      </c>
      <c r="C68" s="67">
        <v>49.971992755946999</v>
      </c>
      <c r="D68" s="67">
        <v>265.974868598</v>
      </c>
      <c r="E68" s="67">
        <v>427.18353617208703</v>
      </c>
      <c r="F68" s="67">
        <v>268.00928413600002</v>
      </c>
      <c r="G68" s="68">
        <f>E68/$E$97</f>
        <v>2.7759461606062436E-3</v>
      </c>
      <c r="H68" s="68">
        <f t="shared" si="7"/>
        <v>0.59391320173563389</v>
      </c>
    </row>
    <row r="69" spans="1:8" s="4" customFormat="1" ht="24.75" customHeight="1">
      <c r="A69" s="50">
        <v>10</v>
      </c>
      <c r="B69" s="51" t="s">
        <v>23</v>
      </c>
      <c r="C69" s="67">
        <v>184.59023321999601</v>
      </c>
      <c r="D69" s="67">
        <v>179.91100830399731</v>
      </c>
      <c r="E69" s="67">
        <v>1134.5428082599717</v>
      </c>
      <c r="F69" s="67">
        <v>1108.6322273479875</v>
      </c>
      <c r="G69" s="68">
        <f>E69/$E$97</f>
        <v>7.3725447868477189E-3</v>
      </c>
      <c r="H69" s="68">
        <f t="shared" si="7"/>
        <v>2.3371664897353872E-2</v>
      </c>
    </row>
    <row r="70" spans="1:8" s="4" customFormat="1" ht="24.75" customHeight="1">
      <c r="A70" s="50">
        <v>11</v>
      </c>
      <c r="B70" s="51" t="s">
        <v>21</v>
      </c>
      <c r="C70" s="67">
        <v>206.7534872</v>
      </c>
      <c r="D70" s="67">
        <v>203.73681506</v>
      </c>
      <c r="E70" s="67">
        <v>1506.7744027560002</v>
      </c>
      <c r="F70" s="67">
        <v>1230.4237676390001</v>
      </c>
      <c r="G70" s="68">
        <f>E70/$E$97</f>
        <v>9.7913993964067747E-3</v>
      </c>
      <c r="H70" s="68">
        <f t="shared" si="7"/>
        <v>0.22459793315540047</v>
      </c>
    </row>
    <row r="71" spans="1:8" s="4" customFormat="1" ht="24.75" customHeight="1">
      <c r="A71" s="50">
        <v>12</v>
      </c>
      <c r="B71" s="51" t="s">
        <v>9</v>
      </c>
      <c r="C71" s="67">
        <v>1576.7200000000003</v>
      </c>
      <c r="D71" s="67">
        <v>2314.84</v>
      </c>
      <c r="E71" s="67">
        <v>7864.0000000000009</v>
      </c>
      <c r="F71" s="67">
        <v>8351.6025847000001</v>
      </c>
      <c r="G71" s="68">
        <f>E71/$E$97</f>
        <v>5.1102251745520147E-2</v>
      </c>
      <c r="H71" s="68">
        <f t="shared" si="7"/>
        <v>-5.8384313639789229E-2</v>
      </c>
    </row>
    <row r="72" spans="1:8" s="4" customFormat="1" ht="24.75" customHeight="1">
      <c r="A72" s="50">
        <v>13</v>
      </c>
      <c r="B72" s="51" t="s">
        <v>31</v>
      </c>
      <c r="C72" s="67">
        <v>4.8179753625252504</v>
      </c>
      <c r="D72" s="67">
        <v>5.0227264259417082</v>
      </c>
      <c r="E72" s="67">
        <v>26.65303256562645</v>
      </c>
      <c r="F72" s="67">
        <v>32.334623433470725</v>
      </c>
      <c r="G72" s="68">
        <f>E72/$E$97</f>
        <v>1.7319811545653477E-4</v>
      </c>
      <c r="H72" s="68">
        <f t="shared" si="7"/>
        <v>-0.17571229426977203</v>
      </c>
    </row>
    <row r="73" spans="1:8" s="4" customFormat="1" ht="24.75" customHeight="1">
      <c r="A73" s="50">
        <v>14</v>
      </c>
      <c r="B73" s="51" t="s">
        <v>30</v>
      </c>
      <c r="C73" s="67">
        <v>40.020824329001179</v>
      </c>
      <c r="D73" s="67">
        <v>23.222136025000005</v>
      </c>
      <c r="E73" s="67">
        <v>244.56878930100336</v>
      </c>
      <c r="F73" s="67">
        <v>88.592495453002783</v>
      </c>
      <c r="G73" s="68">
        <f>E73/$E$97</f>
        <v>1.5892695625581061E-3</v>
      </c>
      <c r="H73" s="68">
        <f t="shared" si="7"/>
        <v>1.7606039095122235</v>
      </c>
    </row>
    <row r="74" spans="1:8" s="4" customFormat="1" ht="24.75" customHeight="1">
      <c r="A74" s="50">
        <v>15</v>
      </c>
      <c r="B74" s="51" t="s">
        <v>11</v>
      </c>
      <c r="C74" s="67">
        <v>1962.3134611466533</v>
      </c>
      <c r="D74" s="67">
        <v>1775.964674079755</v>
      </c>
      <c r="E74" s="67">
        <v>7279.8724669055755</v>
      </c>
      <c r="F74" s="67">
        <v>6449.0222900439576</v>
      </c>
      <c r="G74" s="68">
        <f>E74/$E$97</f>
        <v>4.7306443982590214E-2</v>
      </c>
      <c r="H74" s="68">
        <f t="shared" si="7"/>
        <v>0.12883350987083575</v>
      </c>
    </row>
    <row r="75" spans="1:8" s="4" customFormat="1" ht="24.75" customHeight="1">
      <c r="A75" s="50">
        <v>16</v>
      </c>
      <c r="B75" s="51" t="s">
        <v>20</v>
      </c>
      <c r="C75" s="67">
        <v>289.92583131752195</v>
      </c>
      <c r="D75" s="67">
        <v>275.81516373528035</v>
      </c>
      <c r="E75" s="67">
        <v>1922.5769507246214</v>
      </c>
      <c r="F75" s="67">
        <v>1686.4097994355925</v>
      </c>
      <c r="G75" s="68">
        <f>E75/$E$97</f>
        <v>1.2493389030526967E-2</v>
      </c>
      <c r="H75" s="68">
        <f t="shared" si="7"/>
        <v>0.14004137746831719</v>
      </c>
    </row>
    <row r="76" spans="1:8" s="4" customFormat="1" ht="24.75" customHeight="1">
      <c r="A76" s="50">
        <v>17</v>
      </c>
      <c r="B76" s="51" t="s">
        <v>12</v>
      </c>
      <c r="C76" s="67">
        <v>1389.9514663068103</v>
      </c>
      <c r="D76" s="67">
        <v>1376.9518122657012</v>
      </c>
      <c r="E76" s="67">
        <v>6586.3137770503045</v>
      </c>
      <c r="F76" s="67">
        <v>5691.0131585111758</v>
      </c>
      <c r="G76" s="68">
        <f>E76/$E$97</f>
        <v>4.2799525013963918E-2</v>
      </c>
      <c r="H76" s="68">
        <f t="shared" si="7"/>
        <v>0.15731831812761929</v>
      </c>
    </row>
    <row r="77" spans="1:8" s="4" customFormat="1" ht="24.75" customHeight="1">
      <c r="A77" s="50">
        <v>18</v>
      </c>
      <c r="B77" s="51" t="s">
        <v>22</v>
      </c>
      <c r="C77" s="67">
        <v>308.13272725600001</v>
      </c>
      <c r="D77" s="67">
        <v>269.94820432799997</v>
      </c>
      <c r="E77" s="67">
        <v>1593.7860075440001</v>
      </c>
      <c r="F77" s="67">
        <v>1309.839342988</v>
      </c>
      <c r="G77" s="68">
        <f>E77/$E$97</f>
        <v>1.0356822709308362E-2</v>
      </c>
      <c r="H77" s="68">
        <f t="shared" si="7"/>
        <v>0.21677976469103619</v>
      </c>
    </row>
    <row r="78" spans="1:8" s="4" customFormat="1" ht="24.75" customHeight="1">
      <c r="A78" s="50">
        <v>19</v>
      </c>
      <c r="B78" s="51" t="s">
        <v>7</v>
      </c>
      <c r="C78" s="67">
        <v>1755.3296631870362</v>
      </c>
      <c r="D78" s="67">
        <v>1314.9978000000001</v>
      </c>
      <c r="E78" s="67">
        <v>8946.4323631870357</v>
      </c>
      <c r="F78" s="67">
        <v>7565.7226000000001</v>
      </c>
      <c r="G78" s="68">
        <f>E78/$E$97</f>
        <v>5.8136169741588577E-2</v>
      </c>
      <c r="H78" s="68">
        <f t="shared" si="7"/>
        <v>0.18249542524689388</v>
      </c>
    </row>
    <row r="79" spans="1:8" s="4" customFormat="1" ht="24.75" customHeight="1">
      <c r="A79" s="50">
        <v>20</v>
      </c>
      <c r="B79" s="51" t="s">
        <v>2</v>
      </c>
      <c r="C79" s="67">
        <v>3141.34</v>
      </c>
      <c r="D79" s="67">
        <v>2885.73</v>
      </c>
      <c r="E79" s="67">
        <v>19390.97</v>
      </c>
      <c r="F79" s="67">
        <v>18828.510000000002</v>
      </c>
      <c r="G79" s="68">
        <f>E79/$E$97</f>
        <v>0.12600740469606164</v>
      </c>
      <c r="H79" s="68">
        <f t="shared" si="7"/>
        <v>2.9872783348230906E-2</v>
      </c>
    </row>
    <row r="80" spans="1:8" s="4" customFormat="1" ht="24.75" customHeight="1">
      <c r="A80" s="50">
        <v>21</v>
      </c>
      <c r="B80" s="51" t="s">
        <v>6</v>
      </c>
      <c r="C80" s="67">
        <v>2088.7799999999997</v>
      </c>
      <c r="D80" s="67">
        <v>2085.83</v>
      </c>
      <c r="E80" s="67">
        <v>10052.25</v>
      </c>
      <c r="F80" s="67">
        <v>9265.18</v>
      </c>
      <c r="G80" s="68">
        <f>E80/$E$97</f>
        <v>6.5322051132871928E-2</v>
      </c>
      <c r="H80" s="68">
        <f t="shared" si="7"/>
        <v>8.4949240057937317E-2</v>
      </c>
    </row>
    <row r="81" spans="1:8" s="4" customFormat="1" ht="24.75" customHeight="1">
      <c r="A81" s="50">
        <v>22</v>
      </c>
      <c r="B81" s="51" t="s">
        <v>4</v>
      </c>
      <c r="C81" s="67">
        <v>1318.87</v>
      </c>
      <c r="D81" s="67">
        <v>1609.72</v>
      </c>
      <c r="E81" s="67">
        <v>10067.700000000001</v>
      </c>
      <c r="F81" s="67">
        <v>9551.74</v>
      </c>
      <c r="G81" s="68">
        <f>E81/$E$97</f>
        <v>6.542244912237706E-2</v>
      </c>
      <c r="H81" s="68">
        <f t="shared" si="7"/>
        <v>5.4017383220230135E-2</v>
      </c>
    </row>
    <row r="82" spans="1:8" s="4" customFormat="1" ht="24.75" customHeight="1">
      <c r="A82" s="50">
        <v>23</v>
      </c>
      <c r="B82" s="51" t="s">
        <v>18</v>
      </c>
      <c r="C82" s="67">
        <v>571.78</v>
      </c>
      <c r="D82" s="67">
        <v>613.58000000000004</v>
      </c>
      <c r="E82" s="67">
        <v>2697.4610271559995</v>
      </c>
      <c r="F82" s="67">
        <v>2541.2806968999998</v>
      </c>
      <c r="G82" s="68">
        <f>E82/$E$97</f>
        <v>1.752878083462045E-2</v>
      </c>
      <c r="H82" s="68">
        <f t="shared" si="7"/>
        <v>6.1457331512617806E-2</v>
      </c>
    </row>
    <row r="83" spans="1:8" s="4" customFormat="1" ht="24.75" customHeight="1">
      <c r="A83" s="50">
        <v>24</v>
      </c>
      <c r="B83" s="51" t="s">
        <v>28</v>
      </c>
      <c r="C83" s="67">
        <v>73.02</v>
      </c>
      <c r="D83" s="67">
        <v>61.01</v>
      </c>
      <c r="E83" s="67">
        <v>465.73999999999995</v>
      </c>
      <c r="F83" s="67">
        <v>331.63</v>
      </c>
      <c r="G83" s="68">
        <f>E83/$E$97</f>
        <v>3.0264957690689914E-3</v>
      </c>
      <c r="H83" s="68">
        <f t="shared" si="7"/>
        <v>0.40439646594095818</v>
      </c>
    </row>
    <row r="84" spans="1:8" s="4" customFormat="1" ht="24.75" customHeight="1">
      <c r="A84" s="50">
        <v>25</v>
      </c>
      <c r="B84" s="51" t="s">
        <v>92</v>
      </c>
      <c r="C84" s="67">
        <v>164.06439176203199</v>
      </c>
      <c r="D84" s="67">
        <v>121.99158875811862</v>
      </c>
      <c r="E84" s="67">
        <v>935.24704931766132</v>
      </c>
      <c r="F84" s="67">
        <v>673.61569226139682</v>
      </c>
      <c r="G84" s="68">
        <f>E84/$E$97</f>
        <v>6.0774707729509183E-3</v>
      </c>
      <c r="H84" s="68">
        <f t="shared" si="7"/>
        <v>0.38839854840367699</v>
      </c>
    </row>
    <row r="85" spans="1:8" s="4" customFormat="1" ht="24.75" customHeight="1">
      <c r="A85" s="50"/>
      <c r="B85" s="57" t="s">
        <v>83</v>
      </c>
      <c r="C85" s="69">
        <f>SUM(C60:C84)</f>
        <v>22985.169765926381</v>
      </c>
      <c r="D85" s="69">
        <f t="shared" ref="D85:F85" si="8">SUM(D60:D84)</f>
        <v>23706.225088571817</v>
      </c>
      <c r="E85" s="69">
        <f t="shared" si="8"/>
        <v>131244.05543417583</v>
      </c>
      <c r="F85" s="69">
        <f t="shared" si="8"/>
        <v>123046.94274445763</v>
      </c>
      <c r="G85" s="70">
        <f>E85/$E$97</f>
        <v>0.85285691262719399</v>
      </c>
      <c r="H85" s="70">
        <f t="shared" ref="H85:H91" si="9">((E85-F85)/F85)</f>
        <v>6.6617768039486033E-2</v>
      </c>
    </row>
    <row r="86" spans="1:8" s="4" customFormat="1" ht="24.75" customHeight="1">
      <c r="A86" s="50">
        <v>26</v>
      </c>
      <c r="B86" s="51" t="s">
        <v>19</v>
      </c>
      <c r="C86" s="67">
        <v>460.8</v>
      </c>
      <c r="D86" s="67">
        <v>316.0360733</v>
      </c>
      <c r="E86" s="67">
        <v>2170.8004172974897</v>
      </c>
      <c r="F86" s="67">
        <v>1560.5055480243682</v>
      </c>
      <c r="G86" s="68">
        <f t="shared" ref="G86" si="10">E86/$E$97</f>
        <v>1.4106407606054997E-2</v>
      </c>
      <c r="H86" s="68">
        <f t="shared" si="9"/>
        <v>0.39108792022288374</v>
      </c>
    </row>
    <row r="87" spans="1:8" s="5" customFormat="1" ht="24.75" customHeight="1">
      <c r="A87" s="50">
        <v>27</v>
      </c>
      <c r="B87" s="51" t="s">
        <v>14</v>
      </c>
      <c r="C87" s="67">
        <v>710.45521521900002</v>
      </c>
      <c r="D87" s="67">
        <v>546.42958306297396</v>
      </c>
      <c r="E87" s="67">
        <v>4159.8380267189996</v>
      </c>
      <c r="F87" s="67">
        <v>3183.9234431629739</v>
      </c>
      <c r="G87" s="68">
        <f>E87/$E$97</f>
        <v>2.7031674728125898E-2</v>
      </c>
      <c r="H87" s="68">
        <f t="shared" si="9"/>
        <v>0.30651320641884922</v>
      </c>
    </row>
    <row r="88" spans="1:8" s="4" customFormat="1" ht="24.75" customHeight="1">
      <c r="A88" s="50">
        <v>28</v>
      </c>
      <c r="B88" s="51" t="s">
        <v>25</v>
      </c>
      <c r="C88" s="67">
        <v>145.77400160440038</v>
      </c>
      <c r="D88" s="67">
        <v>129.77477974025166</v>
      </c>
      <c r="E88" s="67">
        <v>831.98816239480732</v>
      </c>
      <c r="F88" s="67">
        <v>746.30138993754679</v>
      </c>
      <c r="G88" s="68">
        <f>E88/$E$97</f>
        <v>5.40646853051782E-3</v>
      </c>
      <c r="H88" s="68">
        <f t="shared" si="9"/>
        <v>0.1148152390074352</v>
      </c>
    </row>
    <row r="89" spans="1:8" s="4" customFormat="1" ht="24.75" customHeight="1">
      <c r="A89" s="50">
        <v>29</v>
      </c>
      <c r="B89" s="51" t="s">
        <v>84</v>
      </c>
      <c r="C89" s="67">
        <v>601.519346595</v>
      </c>
      <c r="D89" s="67">
        <v>458.53714953499997</v>
      </c>
      <c r="E89" s="67">
        <v>3241.5133830589998</v>
      </c>
      <c r="F89" s="67">
        <v>2435.684174426</v>
      </c>
      <c r="G89" s="68">
        <f>E89/$E$97</f>
        <v>2.1064170007318625E-2</v>
      </c>
      <c r="H89" s="68">
        <f t="shared" si="9"/>
        <v>0.33084306130243823</v>
      </c>
    </row>
    <row r="90" spans="1:8" s="4" customFormat="1" ht="24.75" customHeight="1">
      <c r="A90" s="50"/>
      <c r="B90" s="51" t="s">
        <v>85</v>
      </c>
      <c r="C90" s="60"/>
      <c r="D90" s="60"/>
      <c r="E90" s="60"/>
      <c r="F90" s="60"/>
      <c r="G90" s="71" t="s">
        <v>103</v>
      </c>
      <c r="H90" s="71"/>
    </row>
    <row r="91" spans="1:8" s="4" customFormat="1" ht="24.75" customHeight="1">
      <c r="A91" s="50">
        <v>30</v>
      </c>
      <c r="B91" s="51" t="s">
        <v>10</v>
      </c>
      <c r="C91" s="67">
        <v>1462.4149072459993</v>
      </c>
      <c r="D91" s="67">
        <v>1240.997198</v>
      </c>
      <c r="E91" s="67">
        <v>7806.7252550460089</v>
      </c>
      <c r="F91" s="67">
        <v>6680.3228279000004</v>
      </c>
      <c r="G91" s="68">
        <f>E91/$E$97</f>
        <v>5.0730066034012089E-2</v>
      </c>
      <c r="H91" s="68">
        <f t="shared" si="9"/>
        <v>0.1686149690912617</v>
      </c>
    </row>
    <row r="92" spans="1:8" s="4" customFormat="1" ht="24.75" customHeight="1">
      <c r="A92" s="50">
        <v>31</v>
      </c>
      <c r="B92" s="51" t="s">
        <v>104</v>
      </c>
      <c r="C92" s="67">
        <v>0.03</v>
      </c>
      <c r="D92" s="67">
        <v>0</v>
      </c>
      <c r="E92" s="67">
        <v>0.12</v>
      </c>
      <c r="F92" s="67">
        <v>0</v>
      </c>
      <c r="G92" s="68">
        <f>E92/$E$97</f>
        <v>7.7979020974852703E-7</v>
      </c>
      <c r="H92" s="100" t="s">
        <v>105</v>
      </c>
    </row>
    <row r="93" spans="1:8" s="4" customFormat="1" ht="24.75" customHeight="1">
      <c r="A93" s="50"/>
      <c r="B93" s="57" t="s">
        <v>86</v>
      </c>
      <c r="C93" s="72">
        <f>SUM(C86:C92)</f>
        <v>3380.9934706644003</v>
      </c>
      <c r="D93" s="72">
        <f t="shared" ref="D93:F93" si="11">SUM(D86:D92)</f>
        <v>2691.7747836382259</v>
      </c>
      <c r="E93" s="72">
        <f t="shared" si="11"/>
        <v>18210.985244516305</v>
      </c>
      <c r="F93" s="72">
        <f t="shared" si="11"/>
        <v>14606.737383450889</v>
      </c>
      <c r="G93" s="70">
        <f t="shared" ref="G93" si="12">E93/$E$97</f>
        <v>0.11833956669623917</v>
      </c>
      <c r="H93" s="70">
        <f t="shared" ref="H93:H97" si="13">((E93-F93)/F93)</f>
        <v>0.24675242434008224</v>
      </c>
    </row>
    <row r="94" spans="1:8" s="4" customFormat="1" ht="24.75" customHeight="1">
      <c r="A94" s="50">
        <v>32</v>
      </c>
      <c r="B94" s="51" t="s">
        <v>29</v>
      </c>
      <c r="C94" s="67">
        <v>1042.9971362899998</v>
      </c>
      <c r="D94" s="67">
        <v>2926.361354357</v>
      </c>
      <c r="E94" s="67">
        <v>3816.093047585915</v>
      </c>
      <c r="F94" s="67">
        <v>5580.8166435129415</v>
      </c>
      <c r="G94" s="68">
        <f>E94/$E$97</f>
        <v>2.4797933316640972E-2</v>
      </c>
      <c r="H94" s="68">
        <f t="shared" si="13"/>
        <v>-0.31621243066251153</v>
      </c>
    </row>
    <row r="95" spans="1:8" s="4" customFormat="1" ht="24.75" customHeight="1">
      <c r="A95" s="50">
        <v>33</v>
      </c>
      <c r="B95" s="51" t="s">
        <v>26</v>
      </c>
      <c r="C95" s="67">
        <v>134.47</v>
      </c>
      <c r="D95" s="67">
        <v>151.69</v>
      </c>
      <c r="E95" s="67">
        <v>616.41</v>
      </c>
      <c r="F95" s="67">
        <v>567.04999999999995</v>
      </c>
      <c r="G95" s="68">
        <f>E95/$E$97</f>
        <v>4.005587359925746E-3</v>
      </c>
      <c r="H95" s="68">
        <f t="shared" si="13"/>
        <v>8.7046997619257591E-2</v>
      </c>
    </row>
    <row r="96" spans="1:8" s="4" customFormat="1" ht="26.25">
      <c r="A96" s="50"/>
      <c r="B96" s="57" t="s">
        <v>87</v>
      </c>
      <c r="C96" s="63">
        <f>SUM(C94:C95)</f>
        <v>1177.4671362899999</v>
      </c>
      <c r="D96" s="63">
        <f t="shared" ref="D96:F96" si="14">SUM(D94:D95)</f>
        <v>3078.051354357</v>
      </c>
      <c r="E96" s="63">
        <f t="shared" si="14"/>
        <v>4432.5030475859148</v>
      </c>
      <c r="F96" s="63">
        <f t="shared" si="14"/>
        <v>6147.8666435129417</v>
      </c>
      <c r="G96" s="70">
        <f>E96/$E$97</f>
        <v>2.8803520676566715E-2</v>
      </c>
      <c r="H96" s="70">
        <f t="shared" si="13"/>
        <v>-0.27901769758409301</v>
      </c>
    </row>
    <row r="97" spans="1:8" s="4" customFormat="1" ht="26.25">
      <c r="A97" s="50"/>
      <c r="B97" s="56" t="s">
        <v>88</v>
      </c>
      <c r="C97" s="64">
        <f>(C85+C93+C96)</f>
        <v>27543.630372880783</v>
      </c>
      <c r="D97" s="64">
        <f t="shared" ref="D97:F97" si="15">(D85+D93+D96)</f>
        <v>29476.051226567044</v>
      </c>
      <c r="E97" s="64">
        <f t="shared" si="15"/>
        <v>153887.54372627806</v>
      </c>
      <c r="F97" s="64">
        <f t="shared" si="15"/>
        <v>143801.54677142145</v>
      </c>
      <c r="G97" s="70">
        <f>E97/$E$97</f>
        <v>1</v>
      </c>
      <c r="H97" s="70">
        <f t="shared" si="13"/>
        <v>7.0138306445957269E-2</v>
      </c>
    </row>
    <row r="98" spans="1:8" s="6" customFormat="1" ht="15">
      <c r="A98" s="85" t="s">
        <v>89</v>
      </c>
      <c r="B98" s="85"/>
      <c r="C98" s="85"/>
      <c r="D98" s="85"/>
      <c r="E98" s="85"/>
      <c r="F98" s="85"/>
      <c r="G98" s="85"/>
      <c r="H98" s="85"/>
    </row>
    <row r="99" spans="1:8" s="6" customFormat="1" ht="15">
      <c r="A99" s="86" t="s">
        <v>90</v>
      </c>
      <c r="B99" s="86"/>
      <c r="C99" s="86"/>
      <c r="D99" s="86"/>
      <c r="E99" s="86"/>
      <c r="F99" s="86"/>
      <c r="G99" s="86"/>
      <c r="H99" s="86"/>
    </row>
    <row r="100" spans="1:8" s="6" customFormat="1" ht="15" customHeight="1">
      <c r="A100" s="85" t="s">
        <v>91</v>
      </c>
      <c r="B100" s="85"/>
      <c r="C100" s="85"/>
      <c r="D100" s="61"/>
      <c r="E100" s="61"/>
      <c r="F100" s="61"/>
      <c r="G100" s="61"/>
      <c r="H100" s="61"/>
    </row>
    <row r="101" spans="1:8" ht="15.75">
      <c r="B101" s="8"/>
      <c r="C101" s="9"/>
      <c r="D101" s="10"/>
      <c r="E101" s="9"/>
      <c r="F101" s="9"/>
      <c r="G101" s="8"/>
      <c r="H101" s="8"/>
    </row>
    <row r="102" spans="1:8" ht="15.75">
      <c r="B102" s="52"/>
      <c r="C102" s="53"/>
      <c r="D102" s="11"/>
      <c r="E102" s="12"/>
      <c r="F102" s="11"/>
      <c r="G102" s="13"/>
    </row>
    <row r="103" spans="1:8" ht="15.75">
      <c r="B103" s="52"/>
      <c r="C103" s="54"/>
      <c r="D103" s="15"/>
      <c r="E103" s="15"/>
      <c r="F103" s="15"/>
      <c r="G103" s="16"/>
    </row>
    <row r="104" spans="1:8" ht="15.75">
      <c r="B104" s="52"/>
      <c r="C104" s="17"/>
      <c r="D104" s="17"/>
      <c r="E104" s="17"/>
      <c r="F104" s="17"/>
      <c r="G104" s="18"/>
      <c r="H104" s="18"/>
    </row>
    <row r="109" spans="1:8">
      <c r="B109" s="19"/>
      <c r="C109" s="20"/>
      <c r="D109" s="20"/>
      <c r="E109" s="21"/>
    </row>
    <row r="110" spans="1:8">
      <c r="C110" s="20"/>
      <c r="D110" s="20"/>
      <c r="E110" s="21"/>
    </row>
    <row r="65452" spans="1:7" s="14" customFormat="1">
      <c r="A65452" s="7"/>
      <c r="B65452" s="23"/>
      <c r="C65452" s="22"/>
      <c r="D65452" s="22"/>
      <c r="E65452" s="22"/>
      <c r="F65452" s="22"/>
      <c r="G65452" s="1">
        <v>0</v>
      </c>
    </row>
  </sheetData>
  <sortState ref="B59:H83">
    <sortCondition ref="B59:B83"/>
  </sortState>
  <mergeCells count="26">
    <mergeCell ref="A100:C100"/>
    <mergeCell ref="A55:H55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50:D50"/>
    <mergeCell ref="A51:H51"/>
    <mergeCell ref="A53:H53"/>
    <mergeCell ref="A54:H54"/>
    <mergeCell ref="A98:H98"/>
    <mergeCell ref="A99:H99"/>
    <mergeCell ref="C57:F57"/>
    <mergeCell ref="G57:G59"/>
    <mergeCell ref="H57:H59"/>
    <mergeCell ref="A58:A59"/>
    <mergeCell ref="B58:B59"/>
    <mergeCell ref="C58:D58"/>
    <mergeCell ref="E58:F58"/>
  </mergeCells>
  <printOptions horizontalCentered="1" verticalCentered="1"/>
  <pageMargins left="0.2" right="0.2" top="0.5" bottom="0.25" header="0" footer="0"/>
  <pageSetup paperSize="9" scale="44" fitToHeight="2" orientation="landscape" r:id="rId1"/>
  <headerFooter alignWithMargins="0"/>
  <rowBreaks count="1" manualBreakCount="1">
    <brk id="5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2024-10-21T05:10:54Z</cp:lastPrinted>
  <dcterms:created xsi:type="dcterms:W3CDTF">2024-07-04T10:52:00Z</dcterms:created>
  <dcterms:modified xsi:type="dcterms:W3CDTF">2024-10-21T05:10:57Z</dcterms:modified>
</cp:coreProperties>
</file>