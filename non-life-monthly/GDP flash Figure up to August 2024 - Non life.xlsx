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4-25\GDP Flash figures\GDP FLASH AUGUST\"/>
    </mc:Choice>
  </mc:AlternateContent>
  <bookViews>
    <workbookView xWindow="0" yWindow="0" windowWidth="28800" windowHeight="11910"/>
  </bookViews>
  <sheets>
    <sheet name="Website" sheetId="2" r:id="rId1"/>
  </sheets>
  <definedNames>
    <definedName name="_xlnm._FilterDatabase" localSheetId="0" hidden="1">Website!$A$58:$H$98</definedName>
    <definedName name="New_India" localSheetId="0">Website!$C$80:$F$83</definedName>
    <definedName name="New_India">#REF!</definedName>
    <definedName name="_xlnm.Print_Area" localSheetId="0">Website!$A$2:$H$98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7" i="2" l="1"/>
  <c r="E47" i="2"/>
  <c r="H47" i="2" s="1"/>
  <c r="D47" i="2"/>
  <c r="C47" i="2"/>
  <c r="H46" i="2"/>
  <c r="G46" i="2"/>
  <c r="H45" i="2"/>
  <c r="G45" i="2"/>
  <c r="F44" i="2"/>
  <c r="E44" i="2"/>
  <c r="G44" i="2" s="1"/>
  <c r="D44" i="2"/>
  <c r="C44" i="2"/>
  <c r="H43" i="2"/>
  <c r="G43" i="2"/>
  <c r="G42" i="2"/>
  <c r="H41" i="2"/>
  <c r="G41" i="2"/>
  <c r="H40" i="2"/>
  <c r="G40" i="2"/>
  <c r="H39" i="2"/>
  <c r="G39" i="2"/>
  <c r="H38" i="2"/>
  <c r="G38" i="2"/>
  <c r="F37" i="2"/>
  <c r="F48" i="2" s="1"/>
  <c r="E37" i="2"/>
  <c r="E48" i="2" s="1"/>
  <c r="D37" i="2"/>
  <c r="D48" i="2" s="1"/>
  <c r="C37" i="2"/>
  <c r="C48" i="2" s="1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48" i="2" l="1"/>
  <c r="G48" i="2"/>
  <c r="H44" i="2"/>
  <c r="G47" i="2"/>
  <c r="G37" i="2"/>
  <c r="H37" i="2"/>
  <c r="H85" i="2" l="1"/>
  <c r="H86" i="2"/>
  <c r="H87" i="2"/>
  <c r="H88" i="2"/>
  <c r="H90" i="2"/>
  <c r="H92" i="2"/>
  <c r="H93" i="2"/>
  <c r="H9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D95" i="2"/>
  <c r="F95" i="2"/>
  <c r="C95" i="2"/>
  <c r="D94" i="2"/>
  <c r="E94" i="2"/>
  <c r="F94" i="2"/>
  <c r="C94" i="2"/>
  <c r="D91" i="2"/>
  <c r="E91" i="2"/>
  <c r="H91" i="2" s="1"/>
  <c r="F91" i="2"/>
  <c r="C91" i="2"/>
  <c r="D84" i="2"/>
  <c r="E84" i="2"/>
  <c r="H84" i="2" s="1"/>
  <c r="F84" i="2"/>
  <c r="C84" i="2"/>
  <c r="E95" i="2" l="1"/>
  <c r="G91" i="2" s="1"/>
  <c r="G85" i="2"/>
  <c r="G92" i="2"/>
  <c r="G93" i="2"/>
  <c r="G94" i="2"/>
  <c r="G90" i="2"/>
  <c r="G95" i="2"/>
  <c r="G70" i="2"/>
  <c r="G71" i="2"/>
  <c r="G72" i="2"/>
  <c r="G74" i="2"/>
  <c r="G73" i="2"/>
  <c r="G75" i="2"/>
  <c r="G84" i="2"/>
  <c r="G76" i="2"/>
  <c r="G59" i="2"/>
  <c r="G80" i="2"/>
  <c r="G82" i="2"/>
  <c r="G65" i="2"/>
  <c r="G67" i="2"/>
  <c r="G86" i="2"/>
  <c r="G78" i="2"/>
  <c r="G60" i="2"/>
  <c r="G81" i="2"/>
  <c r="G62" i="2"/>
  <c r="G83" i="2"/>
  <c r="G64" i="2"/>
  <c r="G88" i="2"/>
  <c r="G66" i="2"/>
  <c r="G89" i="2"/>
  <c r="G77" i="2"/>
  <c r="G79" i="2"/>
  <c r="G61" i="2"/>
  <c r="H95" i="2"/>
  <c r="G63" i="2"/>
  <c r="G87" i="2"/>
  <c r="G68" i="2"/>
  <c r="G69" i="2"/>
</calcChain>
</file>

<file path=xl/sharedStrings.xml><?xml version="1.0" encoding="utf-8"?>
<sst xmlns="http://schemas.openxmlformats.org/spreadsheetml/2006/main" count="119" uniqueCount="103">
  <si>
    <t>2024-25</t>
  </si>
  <si>
    <t>2023-24</t>
  </si>
  <si>
    <t>The New India Assurance Company Limited</t>
  </si>
  <si>
    <t>ICICI Lombard General Insurance Company Limited</t>
  </si>
  <si>
    <t>United India Insurance Company Limited</t>
  </si>
  <si>
    <t>Bajaj Allianz General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</si>
  <si>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</si>
  <si>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</si>
  <si>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</si>
  <si>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</si>
  <si>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</si>
  <si>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</si>
  <si>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</si>
  <si>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</si>
  <si>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</si>
  <si>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</si>
  <si>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</si>
  <si>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Future Generali India Insurance Company Limited</t>
  </si>
  <si>
    <t>Universal Sompo General Insurance Company Limited</t>
  </si>
  <si>
    <t>Aditya Birla Health Insurance Company Limited</t>
  </si>
  <si>
    <t>Royal Sundaram General Insurance Company Limited</t>
  </si>
  <si>
    <t>Magma HDI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</si>
  <si>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</si>
  <si>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</si>
  <si>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</si>
  <si>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</si>
  <si>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</si>
  <si>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</si>
  <si>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</si>
  <si>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</si>
  <si>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</si>
  <si>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</si>
  <si>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</si>
  <si>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</si>
  <si>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</si>
  <si>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</si>
  <si>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</si>
  <si>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</si>
  <si>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</si>
  <si>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</si>
  <si>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</si>
  <si>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</si>
  <si>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</si>
  <si>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</si>
  <si>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</si>
  <si>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</si>
  <si>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</si>
  <si>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</si>
  <si>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</si>
  <si>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</si>
  <si>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मैग्मा एचडीआई जनरल इंश्योरेंस कंपनी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</si>
  <si>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</si>
  <si>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</si>
  <si>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</si>
  <si>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</si>
  <si>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</si>
  <si>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</si>
  <si>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</si>
  <si>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</si>
  <si>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</si>
  <si>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</si>
  <si>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</si>
  <si>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</si>
  <si>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</si>
  <si>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</si>
  <si>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</si>
  <si>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</si>
  <si>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</si>
  <si>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</si>
  <si>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</si>
  <si>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</si>
  <si>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</si>
  <si>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</si>
  <si>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</si>
  <si>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</si>
  <si>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</si>
  <si>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</si>
  <si>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</si>
  <si>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</si>
  <si>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</si>
  <si>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</si>
  <si>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</si>
  <si>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</si>
  <si>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</si>
  <si>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</si>
  <si>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</si>
  <si>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</si>
  <si>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</si>
  <si>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</si>
  <si>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</si>
  <si>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NA: Not Applicable</t>
  </si>
  <si>
    <t>*Takeover of Reliance Health Insurance portfolio by Reliance General Insurance</t>
  </si>
  <si>
    <t>For the Month of AUGUST</t>
  </si>
  <si>
    <t>Upto the Month of AUGUST</t>
  </si>
  <si>
    <t>Market Share upto the Month of August, 2024 (%)</t>
  </si>
  <si>
    <t>'GROSS DIRECT PREMIUM UNDERWRITTEN FOR AND UPTO THE MONTH  OF AUGUST, 2024</t>
  </si>
  <si>
    <t>अगस्त , 2024 माह और तक के लिए सकल प्रत्यक्ष प्रीमियम अधिग्रहण</t>
  </si>
  <si>
    <t>अगस्त  माह के लिए</t>
  </si>
  <si>
    <t>अगस्त  माह तक</t>
  </si>
  <si>
    <t>अगस्त , 2024 माह तक बाजार शेयर  (%)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</si>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</sst>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.00_);_(* \(#,##0.00\);_(* &quot;-&quot;??_);_(@_)"/>
    <numFmt numFmtId="165" formatCode="_(* #,##0.00_);_(* \(#,##0.00\);_(* \-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Rupee Foradian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1"/>
      <name val="Arial"/>
      <family val="2"/>
    </font>
    <font>
      <b/>
      <sz val="18"/>
      <name val="Arial"/>
      <family val="2"/>
    </font>
    <font>
      <sz val="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10" fillId="0" borderId="0" xfId="3" applyFont="1" applyBorder="1" applyAlignment="1">
      <alignment horizontal="right" vertical="center"/>
    </xf>
    <xf numFmtId="164" fontId="10" fillId="0" borderId="0" xfId="3" applyNumberFormat="1" applyFont="1" applyBorder="1" applyAlignment="1">
      <alignment horizontal="right" vertical="center"/>
    </xf>
    <xf numFmtId="2" fontId="10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2" fontId="10" fillId="0" borderId="0" xfId="3" applyNumberFormat="1" applyFont="1" applyBorder="1" applyAlignment="1">
      <alignment horizontal="right" vertical="center"/>
    </xf>
    <xf numFmtId="0" fontId="10" fillId="0" borderId="0" xfId="3" applyFont="1" applyBorder="1" applyAlignment="1">
      <alignment vertical="center"/>
    </xf>
    <xf numFmtId="2" fontId="3" fillId="0" borderId="0" xfId="3" applyNumberFormat="1" applyFont="1" applyFill="1" applyBorder="1" applyAlignment="1">
      <alignment horizontal="right" vertical="center"/>
    </xf>
    <xf numFmtId="2" fontId="11" fillId="0" borderId="0" xfId="4" applyNumberFormat="1" applyFont="1" applyFill="1" applyBorder="1" applyAlignment="1">
      <alignment vertical="center"/>
    </xf>
    <xf numFmtId="10" fontId="3" fillId="0" borderId="0" xfId="2" applyNumberFormat="1" applyFont="1" applyBorder="1" applyAlignment="1">
      <alignment vertical="center" wrapText="1"/>
    </xf>
    <xf numFmtId="164" fontId="3" fillId="0" borderId="0" xfId="3" applyNumberFormat="1" applyFont="1" applyBorder="1" applyAlignment="1">
      <alignment horizontal="right" vertical="center"/>
    </xf>
    <xf numFmtId="10" fontId="3" fillId="0" borderId="0" xfId="2" applyNumberFormat="1" applyFont="1" applyBorder="1" applyAlignment="1">
      <alignment horizontal="right"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right"/>
    </xf>
    <xf numFmtId="0" fontId="12" fillId="0" borderId="0" xfId="0" applyFont="1" applyBorder="1"/>
    <xf numFmtId="0" fontId="14" fillId="0" borderId="0" xfId="3" quotePrefix="1" applyFont="1" applyFill="1" applyBorder="1" applyAlignment="1">
      <alignment horizontal="center"/>
    </xf>
    <xf numFmtId="0" fontId="14" fillId="0" borderId="0" xfId="3" quotePrefix="1" applyFont="1" applyFill="1" applyBorder="1" applyAlignment="1">
      <alignment horizontal="right"/>
    </xf>
    <xf numFmtId="0" fontId="15" fillId="0" borderId="0" xfId="3" applyFont="1" applyFill="1" applyBorder="1" applyAlignment="1">
      <alignment vertical="center"/>
    </xf>
    <xf numFmtId="0" fontId="1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wrapText="1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vertical="center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right"/>
    </xf>
    <xf numFmtId="0" fontId="19" fillId="0" borderId="0" xfId="3" applyFont="1" applyBorder="1" applyAlignment="1">
      <alignment horizontal="center"/>
    </xf>
    <xf numFmtId="0" fontId="20" fillId="0" borderId="0" xfId="3" applyFont="1" applyFill="1" applyBorder="1" applyAlignment="1">
      <alignment horizontal="center" wrapText="1"/>
    </xf>
    <xf numFmtId="0" fontId="20" fillId="0" borderId="0" xfId="3" applyFont="1" applyFill="1" applyBorder="1" applyAlignment="1">
      <alignment horizontal="right" wrapText="1"/>
    </xf>
    <xf numFmtId="0" fontId="20" fillId="0" borderId="0" xfId="3" quotePrefix="1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 vertical="center"/>
    </xf>
    <xf numFmtId="0" fontId="21" fillId="0" borderId="0" xfId="3" quotePrefix="1" applyFont="1" applyFill="1" applyBorder="1" applyAlignment="1">
      <alignment vertical="center"/>
    </xf>
    <xf numFmtId="0" fontId="15" fillId="0" borderId="0" xfId="3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3" fillId="0" borderId="0" xfId="3" applyFont="1" applyFill="1" applyBorder="1" applyAlignment="1">
      <alignment horizontal="center" vertical="center"/>
    </xf>
    <xf numFmtId="0" fontId="23" fillId="0" borderId="0" xfId="3" applyFont="1" applyFill="1" applyBorder="1" applyAlignment="1">
      <alignment vertical="center" wrapText="1"/>
    </xf>
    <xf numFmtId="0" fontId="23" fillId="0" borderId="0" xfId="3" applyFont="1" applyFill="1" applyBorder="1" applyAlignment="1">
      <alignment horizontal="right" vertical="center"/>
    </xf>
    <xf numFmtId="0" fontId="23" fillId="0" borderId="0" xfId="3" applyFont="1" applyFill="1" applyBorder="1" applyAlignment="1">
      <alignment vertical="center"/>
    </xf>
    <xf numFmtId="0" fontId="16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1" fontId="15" fillId="0" borderId="0" xfId="3" applyNumberFormat="1" applyFont="1" applyFill="1" applyBorder="1" applyAlignment="1">
      <alignment horizontal="center" vertical="center"/>
    </xf>
    <xf numFmtId="2" fontId="21" fillId="0" borderId="0" xfId="3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wrapText="1"/>
    </xf>
    <xf numFmtId="10" fontId="9" fillId="0" borderId="0" xfId="2" applyNumberFormat="1" applyFont="1" applyFill="1" applyBorder="1" applyAlignment="1">
      <alignment horizontal="right"/>
    </xf>
    <xf numFmtId="0" fontId="9" fillId="0" borderId="0" xfId="0" applyFont="1" applyBorder="1" applyAlignment="1">
      <alignment horizontal="right"/>
    </xf>
    <xf numFmtId="10" fontId="24" fillId="0" borderId="0" xfId="0" applyNumberFormat="1" applyFont="1" applyBorder="1" applyAlignment="1">
      <alignment horizontal="center"/>
    </xf>
    <xf numFmtId="10" fontId="28" fillId="0" borderId="0" xfId="0" applyNumberFormat="1" applyFont="1" applyBorder="1" applyAlignment="1">
      <alignment horizontal="center"/>
    </xf>
    <xf numFmtId="164" fontId="7" fillId="0" borderId="1" xfId="1" applyNumberFormat="1" applyFont="1" applyFill="1" applyBorder="1" applyAlignment="1">
      <alignment horizontal="right" vertical="center"/>
    </xf>
    <xf numFmtId="10" fontId="25" fillId="0" borderId="1" xfId="0" applyNumberFormat="1" applyFont="1" applyBorder="1" applyAlignment="1">
      <alignment horizontal="center"/>
    </xf>
    <xf numFmtId="164" fontId="22" fillId="0" borderId="1" xfId="1" applyFont="1" applyFill="1" applyBorder="1" applyAlignment="1">
      <alignment vertical="center" wrapText="1"/>
    </xf>
    <xf numFmtId="164" fontId="22" fillId="0" borderId="1" xfId="1" applyFont="1" applyFill="1" applyBorder="1" applyAlignment="1">
      <alignment horizontal="left" vertical="center" wrapText="1"/>
    </xf>
    <xf numFmtId="164" fontId="7" fillId="0" borderId="1" xfId="1" applyFont="1" applyFill="1" applyBorder="1" applyAlignment="1">
      <alignment horizontal="right" vertical="center"/>
    </xf>
    <xf numFmtId="0" fontId="22" fillId="0" borderId="1" xfId="3" quotePrefix="1" applyFont="1" applyFill="1" applyBorder="1" applyAlignment="1">
      <alignment vertical="center"/>
    </xf>
    <xf numFmtId="4" fontId="24" fillId="0" borderId="0" xfId="0" applyNumberFormat="1" applyFont="1" applyBorder="1" applyAlignment="1">
      <alignment horizontal="right"/>
    </xf>
    <xf numFmtId="43" fontId="24" fillId="0" borderId="0" xfId="0" applyNumberFormat="1" applyFont="1" applyBorder="1" applyAlignment="1">
      <alignment horizontal="right"/>
    </xf>
    <xf numFmtId="165" fontId="24" fillId="0" borderId="0" xfId="0" applyNumberFormat="1" applyFont="1" applyBorder="1" applyAlignment="1">
      <alignment horizontal="right"/>
    </xf>
    <xf numFmtId="43" fontId="25" fillId="0" borderId="1" xfId="0" applyNumberFormat="1" applyFont="1" applyBorder="1" applyAlignment="1">
      <alignment horizontal="right"/>
    </xf>
    <xf numFmtId="0" fontId="26" fillId="0" borderId="0" xfId="3" applyFont="1" applyBorder="1" applyAlignment="1">
      <alignment horizontal="right"/>
    </xf>
    <xf numFmtId="164" fontId="27" fillId="0" borderId="1" xfId="1" applyFont="1" applyFill="1" applyBorder="1" applyAlignment="1">
      <alignment horizontal="right"/>
    </xf>
    <xf numFmtId="0" fontId="14" fillId="0" borderId="0" xfId="3" quotePrefix="1" applyFont="1" applyFill="1" applyBorder="1" applyAlignment="1">
      <alignment horizontal="center"/>
    </xf>
    <xf numFmtId="0" fontId="13" fillId="0" borderId="0" xfId="3" applyFont="1" applyFill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center"/>
    </xf>
    <xf numFmtId="0" fontId="15" fillId="0" borderId="0" xfId="3" quotePrefix="1" applyFont="1" applyFill="1" applyBorder="1" applyAlignment="1">
      <alignment horizontal="center" vertical="center" wrapText="1"/>
    </xf>
    <xf numFmtId="0" fontId="16" fillId="0" borderId="0" xfId="3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2" fontId="10" fillId="0" borderId="0" xfId="4" applyNumberFormat="1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center" wrapText="1"/>
    </xf>
    <xf numFmtId="0" fontId="16" fillId="0" borderId="0" xfId="3" applyFont="1" applyFill="1" applyBorder="1" applyAlignment="1">
      <alignment horizontal="center" vertical="center"/>
    </xf>
    <xf numFmtId="0" fontId="16" fillId="0" borderId="0" xfId="3" quotePrefix="1" applyFont="1" applyFill="1" applyBorder="1" applyAlignment="1">
      <alignment horizontal="center" wrapText="1"/>
    </xf>
    <xf numFmtId="0" fontId="16" fillId="0" borderId="0" xfId="3" applyFont="1" applyFill="1" applyBorder="1" applyAlignment="1">
      <alignment horizontal="center"/>
    </xf>
  </cellXfs>
  <cellStyles count="5">
    <cellStyle name="Comma" xfId="1" builtinId="3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450"/>
  <sheetViews>
    <sheetView showGridLines="0" tabSelected="1" view="pageBreakPreview" zoomScale="98" zoomScaleNormal="98" zoomScaleSheetLayoutView="98" workbookViewId="0">
      <selection activeCell="A54" sqref="A54:H54"/>
    </sheetView>
  </sheetViews>
  <sheetFormatPr defaultRowHeight="12.75"/>
  <cols>
    <col min="1" max="1" width="12.85546875" style="7" customWidth="1"/>
    <col min="2" max="2" width="101.85546875" style="23" customWidth="1"/>
    <col min="3" max="4" width="23.7109375" style="22" bestFit="1" customWidth="1"/>
    <col min="5" max="6" width="27.42578125" style="22" bestFit="1" customWidth="1"/>
    <col min="7" max="7" width="25.85546875" style="1" customWidth="1"/>
    <col min="8" max="8" width="26.5703125" style="14" customWidth="1"/>
    <col min="9" max="16384" width="9.140625" style="1"/>
  </cols>
  <sheetData>
    <row r="1" spans="1:8" ht="15">
      <c r="A1" s="24"/>
      <c r="B1" s="25"/>
      <c r="C1" s="26"/>
      <c r="D1" s="26"/>
      <c r="E1" s="26"/>
      <c r="F1" s="26"/>
      <c r="G1" s="27"/>
      <c r="H1" s="1"/>
    </row>
    <row r="2" spans="1:8" s="2" customFormat="1" ht="36" customHeight="1">
      <c r="A2" s="73" t="s">
        <v>32</v>
      </c>
      <c r="B2" s="73"/>
      <c r="C2" s="73"/>
      <c r="D2" s="73"/>
      <c r="E2" s="73"/>
      <c r="F2" s="73"/>
      <c r="G2" s="73"/>
      <c r="H2" s="73"/>
    </row>
    <row r="3" spans="1:8" s="2" customFormat="1" ht="36" customHeight="1">
      <c r="A3" s="74" t="s">
        <v>33</v>
      </c>
      <c r="B3" s="74"/>
      <c r="C3" s="74"/>
      <c r="D3" s="74"/>
      <c r="E3" s="74"/>
      <c r="F3" s="74"/>
      <c r="G3" s="74"/>
      <c r="H3" s="74"/>
    </row>
    <row r="4" spans="1:8" s="2" customFormat="1" ht="36" customHeight="1">
      <c r="A4" s="72" t="s">
        <v>96</v>
      </c>
      <c r="B4" s="72"/>
      <c r="C4" s="72"/>
      <c r="D4" s="72"/>
      <c r="E4" s="72"/>
      <c r="F4" s="72"/>
      <c r="G4" s="72"/>
      <c r="H4" s="72"/>
    </row>
    <row r="5" spans="1:8" s="2" customFormat="1" ht="6" customHeight="1">
      <c r="A5" s="28"/>
      <c r="B5" s="28"/>
      <c r="C5" s="29"/>
      <c r="D5" s="29"/>
      <c r="E5" s="29"/>
      <c r="F5" s="29"/>
      <c r="G5" s="28"/>
      <c r="H5" s="28"/>
    </row>
    <row r="6" spans="1:8" s="4" customFormat="1" ht="33" customHeight="1">
      <c r="B6" s="30"/>
      <c r="C6" s="75" t="s">
        <v>34</v>
      </c>
      <c r="D6" s="75"/>
      <c r="E6" s="75"/>
      <c r="F6" s="75"/>
      <c r="G6" s="76" t="s">
        <v>99</v>
      </c>
      <c r="H6" s="76" t="s">
        <v>35</v>
      </c>
    </row>
    <row r="7" spans="1:8" s="4" customFormat="1" ht="11.25" customHeight="1">
      <c r="B7" s="30"/>
      <c r="C7" s="77" t="s">
        <v>36</v>
      </c>
      <c r="D7" s="77"/>
      <c r="E7" s="77"/>
      <c r="F7" s="77"/>
      <c r="G7" s="76"/>
      <c r="H7" s="76"/>
    </row>
    <row r="8" spans="1:8" s="33" customFormat="1" ht="32.25" customHeight="1">
      <c r="A8" s="31"/>
      <c r="B8" s="32"/>
      <c r="C8" s="75" t="s">
        <v>97</v>
      </c>
      <c r="D8" s="75"/>
      <c r="E8" s="75" t="s">
        <v>98</v>
      </c>
      <c r="F8" s="75"/>
      <c r="G8" s="76"/>
      <c r="H8" s="76"/>
    </row>
    <row r="9" spans="1:8" s="34" customFormat="1" ht="9" customHeight="1">
      <c r="A9" s="31"/>
      <c r="B9" s="32"/>
      <c r="C9" s="77" t="s">
        <v>37</v>
      </c>
      <c r="D9" s="77"/>
      <c r="E9" s="77" t="s">
        <v>36</v>
      </c>
      <c r="F9" s="77"/>
      <c r="G9" s="76"/>
      <c r="H9" s="76"/>
    </row>
    <row r="10" spans="1:8" s="37" customFormat="1" ht="37.5" customHeight="1">
      <c r="A10" s="35" t="s">
        <v>38</v>
      </c>
      <c r="B10" s="35" t="s">
        <v>39</v>
      </c>
      <c r="C10" s="36" t="s">
        <v>0</v>
      </c>
      <c r="D10" s="36" t="s">
        <v>1</v>
      </c>
      <c r="E10" s="36" t="s">
        <v>0</v>
      </c>
      <c r="F10" s="36" t="s">
        <v>1</v>
      </c>
      <c r="G10" s="76"/>
      <c r="H10" s="76"/>
    </row>
    <row r="11" spans="1:8" s="3" customFormat="1" ht="13.5" customHeight="1">
      <c r="A11" s="38" t="s">
        <v>36</v>
      </c>
      <c r="B11" s="38" t="s">
        <v>37</v>
      </c>
      <c r="C11" s="39" t="s">
        <v>37</v>
      </c>
      <c r="D11" s="39" t="s">
        <v>36</v>
      </c>
      <c r="E11" s="39" t="s">
        <v>36</v>
      </c>
      <c r="F11" s="39" t="s">
        <v>36</v>
      </c>
      <c r="G11" s="40" t="s">
        <v>36</v>
      </c>
      <c r="H11" s="40" t="s">
        <v>36</v>
      </c>
    </row>
    <row r="12" spans="1:8" s="4" customFormat="1" ht="25.5">
      <c r="A12" s="41">
        <v>1</v>
      </c>
      <c r="B12" s="42" t="s">
        <v>40</v>
      </c>
      <c r="C12" s="67">
        <v>182.09535079999998</v>
      </c>
      <c r="D12" s="67">
        <v>148.81983539999999</v>
      </c>
      <c r="E12" s="67">
        <v>864.08</v>
      </c>
      <c r="F12" s="67">
        <v>718.15957509999998</v>
      </c>
      <c r="G12" s="58">
        <f t="shared" ref="G12:G38" si="0">E12/$E$95</f>
        <v>6.8391249965483614E-3</v>
      </c>
      <c r="H12" s="58">
        <f t="shared" ref="H12:H41" si="1">((E12-F12)/F12)</f>
        <v>0.20318663143867627</v>
      </c>
    </row>
    <row r="13" spans="1:8" s="4" customFormat="1" ht="25.5">
      <c r="A13" s="41">
        <v>2</v>
      </c>
      <c r="B13" s="42" t="s">
        <v>41</v>
      </c>
      <c r="C13" s="67">
        <v>1736.2306695</v>
      </c>
      <c r="D13" s="67">
        <v>1677.8690909000004</v>
      </c>
      <c r="E13" s="67">
        <v>8867.983948000001</v>
      </c>
      <c r="F13" s="67">
        <v>9228.8130965</v>
      </c>
      <c r="G13" s="58">
        <f t="shared" si="0"/>
        <v>7.0189392981849397E-2</v>
      </c>
      <c r="H13" s="58">
        <f t="shared" si="1"/>
        <v>-3.9098109879031187E-2</v>
      </c>
    </row>
    <row r="14" spans="1:8" s="4" customFormat="1" ht="25.5">
      <c r="A14" s="41">
        <v>3</v>
      </c>
      <c r="B14" s="42" t="s">
        <v>42</v>
      </c>
      <c r="C14" s="67">
        <v>720.31</v>
      </c>
      <c r="D14" s="67">
        <v>665.47</v>
      </c>
      <c r="E14" s="67">
        <v>3334.56</v>
      </c>
      <c r="F14" s="67">
        <v>2981.9300000000003</v>
      </c>
      <c r="G14" s="58">
        <f t="shared" si="0"/>
        <v>2.6392779196938134E-2</v>
      </c>
      <c r="H14" s="58">
        <f t="shared" si="1"/>
        <v>0.11825562638962002</v>
      </c>
    </row>
    <row r="15" spans="1:8" s="4" customFormat="1" ht="25.5">
      <c r="A15" s="41">
        <v>4</v>
      </c>
      <c r="B15" s="42" t="s">
        <v>43</v>
      </c>
      <c r="C15" s="67">
        <v>369.65602999899204</v>
      </c>
      <c r="D15" s="67">
        <v>335.01003218000687</v>
      </c>
      <c r="E15" s="67">
        <v>2413.0826459429059</v>
      </c>
      <c r="F15" s="67">
        <v>1922.9845750830154</v>
      </c>
      <c r="G15" s="58">
        <f t="shared" si="0"/>
        <v>1.9099358673508454E-2</v>
      </c>
      <c r="H15" s="58">
        <f t="shared" si="1"/>
        <v>0.25486323562357893</v>
      </c>
    </row>
    <row r="16" spans="1:8" s="4" customFormat="1" ht="25.5">
      <c r="A16" s="41">
        <v>5</v>
      </c>
      <c r="B16" s="42" t="s">
        <v>44</v>
      </c>
      <c r="C16" s="67">
        <v>649.77946200899999</v>
      </c>
      <c r="D16" s="67">
        <v>632.91721105600004</v>
      </c>
      <c r="E16" s="67">
        <v>3682.2486862760002</v>
      </c>
      <c r="F16" s="67">
        <v>3266.1345335229998</v>
      </c>
      <c r="G16" s="58">
        <f t="shared" si="0"/>
        <v>2.9144707705093923E-2</v>
      </c>
      <c r="H16" s="58">
        <f t="shared" si="1"/>
        <v>0.12740263711800043</v>
      </c>
    </row>
    <row r="17" spans="1:8" s="4" customFormat="1" ht="25.5">
      <c r="A17" s="41">
        <v>6</v>
      </c>
      <c r="B17" s="42" t="s">
        <v>45</v>
      </c>
      <c r="C17" s="67">
        <v>1745.2217115907249</v>
      </c>
      <c r="D17" s="67">
        <v>2257.6413467329999</v>
      </c>
      <c r="E17" s="67">
        <v>7148.5385095001729</v>
      </c>
      <c r="F17" s="67">
        <v>6889.8219137039996</v>
      </c>
      <c r="G17" s="58">
        <f t="shared" si="0"/>
        <v>5.6580118055169888E-2</v>
      </c>
      <c r="H17" s="58">
        <f t="shared" si="1"/>
        <v>3.7550549061591949E-2</v>
      </c>
    </row>
    <row r="18" spans="1:8" s="4" customFormat="1" ht="25.5">
      <c r="A18" s="41">
        <v>7</v>
      </c>
      <c r="B18" s="42" t="s">
        <v>46</v>
      </c>
      <c r="C18" s="67">
        <v>2137.3160271930019</v>
      </c>
      <c r="D18" s="67">
        <v>1941.29</v>
      </c>
      <c r="E18" s="67">
        <v>12590.365989090002</v>
      </c>
      <c r="F18" s="67">
        <v>10717.29</v>
      </c>
      <c r="G18" s="58">
        <f t="shared" si="0"/>
        <v>9.9651753022495321E-2</v>
      </c>
      <c r="H18" s="58">
        <f t="shared" si="1"/>
        <v>0.17477141974230431</v>
      </c>
    </row>
    <row r="19" spans="1:8" s="4" customFormat="1" ht="25.5">
      <c r="A19" s="41">
        <v>8</v>
      </c>
      <c r="B19" s="42" t="s">
        <v>47</v>
      </c>
      <c r="C19" s="67">
        <v>740.57300595599997</v>
      </c>
      <c r="D19" s="67">
        <v>695.34543855100003</v>
      </c>
      <c r="E19" s="67">
        <v>3342.4583596439998</v>
      </c>
      <c r="F19" s="67">
        <v>4026.2721967059997</v>
      </c>
      <c r="G19" s="58">
        <f t="shared" si="0"/>
        <v>2.6455294090088084E-2</v>
      </c>
      <c r="H19" s="58">
        <f t="shared" si="1"/>
        <v>-0.16983795522355549</v>
      </c>
    </row>
    <row r="20" spans="1:8" s="4" customFormat="1" ht="25.5">
      <c r="A20" s="41">
        <v>9</v>
      </c>
      <c r="B20" s="42" t="s">
        <v>101</v>
      </c>
      <c r="C20" s="67">
        <v>162.85940485972654</v>
      </c>
      <c r="D20" s="67">
        <v>119.81</v>
      </c>
      <c r="E20" s="67">
        <v>771.18265755562936</v>
      </c>
      <c r="F20" s="67">
        <v>551.62410350327821</v>
      </c>
      <c r="G20" s="58">
        <f t="shared" si="0"/>
        <v>6.103849863662276E-3</v>
      </c>
      <c r="H20" s="58">
        <f t="shared" si="1"/>
        <v>0.39802204555234116</v>
      </c>
    </row>
    <row r="21" spans="1:8" s="4" customFormat="1" ht="25.5">
      <c r="A21" s="41">
        <v>10</v>
      </c>
      <c r="B21" s="42" t="s">
        <v>48</v>
      </c>
      <c r="C21" s="67">
        <v>70.764517479139997</v>
      </c>
      <c r="D21" s="67">
        <v>2.0325695539999997</v>
      </c>
      <c r="E21" s="67">
        <v>377.21154341614005</v>
      </c>
      <c r="F21" s="67">
        <v>2.0344155379999997</v>
      </c>
      <c r="G21" s="58">
        <f t="shared" si="0"/>
        <v>2.9855995921256257E-3</v>
      </c>
      <c r="H21" s="58">
        <f t="shared" si="1"/>
        <v>184.4151899503139</v>
      </c>
    </row>
    <row r="22" spans="1:8" s="4" customFormat="1" ht="25.5">
      <c r="A22" s="41">
        <v>11</v>
      </c>
      <c r="B22" s="42" t="s">
        <v>49</v>
      </c>
      <c r="C22" s="66">
        <v>194.17818985699435</v>
      </c>
      <c r="D22" s="66">
        <v>178.23623876499801</v>
      </c>
      <c r="E22" s="67">
        <v>949.95257503997573</v>
      </c>
      <c r="F22" s="67">
        <v>928.72121904399023</v>
      </c>
      <c r="G22" s="58">
        <f t="shared" si="0"/>
        <v>7.5187996499066993E-3</v>
      </c>
      <c r="H22" s="58">
        <f t="shared" si="1"/>
        <v>2.2860849478426575E-2</v>
      </c>
    </row>
    <row r="23" spans="1:8" s="4" customFormat="1" ht="25.5">
      <c r="A23" s="41">
        <v>12</v>
      </c>
      <c r="B23" s="42" t="s">
        <v>50</v>
      </c>
      <c r="C23" s="67">
        <v>198.62</v>
      </c>
      <c r="D23" s="67">
        <v>188.05</v>
      </c>
      <c r="E23" s="67">
        <v>1300.0209155560001</v>
      </c>
      <c r="F23" s="67">
        <v>1026.686952579</v>
      </c>
      <c r="G23" s="58">
        <f t="shared" si="0"/>
        <v>1.0289562933541717E-2</v>
      </c>
      <c r="H23" s="58">
        <f t="shared" si="1"/>
        <v>0.26622911910041824</v>
      </c>
    </row>
    <row r="24" spans="1:8" s="4" customFormat="1" ht="25.5">
      <c r="A24" s="41">
        <v>13</v>
      </c>
      <c r="B24" s="42" t="s">
        <v>51</v>
      </c>
      <c r="C24" s="67">
        <v>1151.47</v>
      </c>
      <c r="D24" s="67">
        <v>1344.59</v>
      </c>
      <c r="E24" s="67">
        <v>6287.29</v>
      </c>
      <c r="F24" s="67">
        <v>6036.7625846999999</v>
      </c>
      <c r="G24" s="58">
        <f t="shared" si="0"/>
        <v>4.9763404082432815E-2</v>
      </c>
      <c r="H24" s="58">
        <f t="shared" si="1"/>
        <v>4.1500292877999626E-2</v>
      </c>
    </row>
    <row r="25" spans="1:8" s="4" customFormat="1" ht="25.5">
      <c r="A25" s="41">
        <v>14</v>
      </c>
      <c r="B25" s="42" t="s">
        <v>52</v>
      </c>
      <c r="C25" s="67">
        <v>4.76</v>
      </c>
      <c r="D25" s="67">
        <v>6.88</v>
      </c>
      <c r="E25" s="67">
        <v>21.835057203101201</v>
      </c>
      <c r="F25" s="67">
        <v>27.311897007529019</v>
      </c>
      <c r="G25" s="58">
        <f t="shared" si="0"/>
        <v>1.7282275428061379E-4</v>
      </c>
      <c r="H25" s="58">
        <f t="shared" si="1"/>
        <v>-0.20052945435895678</v>
      </c>
    </row>
    <row r="26" spans="1:8" s="4" customFormat="1" ht="25.5">
      <c r="A26" s="41">
        <v>15</v>
      </c>
      <c r="B26" s="42" t="s">
        <v>53</v>
      </c>
      <c r="C26" s="67">
        <v>43.448048596000149</v>
      </c>
      <c r="D26" s="67">
        <v>14.266488346001553</v>
      </c>
      <c r="E26" s="67">
        <v>204.54</v>
      </c>
      <c r="F26" s="67">
        <v>65.370359428002772</v>
      </c>
      <c r="G26" s="58">
        <f t="shared" si="0"/>
        <v>1.6189179552749764E-3</v>
      </c>
      <c r="H26" s="58">
        <f t="shared" si="1"/>
        <v>2.1289410336694732</v>
      </c>
    </row>
    <row r="27" spans="1:8" s="4" customFormat="1" ht="25.5">
      <c r="A27" s="41">
        <v>16</v>
      </c>
      <c r="B27" s="42" t="s">
        <v>54</v>
      </c>
      <c r="C27" s="67">
        <v>1010.7982988935831</v>
      </c>
      <c r="D27" s="67">
        <v>928.63795531448284</v>
      </c>
      <c r="E27" s="67">
        <v>5317.5590057589225</v>
      </c>
      <c r="F27" s="67">
        <v>4673.0576159642023</v>
      </c>
      <c r="G27" s="58">
        <f t="shared" si="0"/>
        <v>4.2088059805697041E-2</v>
      </c>
      <c r="H27" s="58">
        <f t="shared" si="1"/>
        <v>0.13791856269714292</v>
      </c>
    </row>
    <row r="28" spans="1:8" s="4" customFormat="1" ht="25.5">
      <c r="A28" s="41">
        <v>17</v>
      </c>
      <c r="B28" s="42" t="s">
        <v>55</v>
      </c>
      <c r="C28" s="67">
        <v>308.40593129138966</v>
      </c>
      <c r="D28" s="67">
        <v>298.0082901593529</v>
      </c>
      <c r="E28" s="67">
        <v>1632.25</v>
      </c>
      <c r="F28" s="67">
        <v>1410.5946357003122</v>
      </c>
      <c r="G28" s="58">
        <f t="shared" si="0"/>
        <v>1.291912991345253E-2</v>
      </c>
      <c r="H28" s="58">
        <f t="shared" si="1"/>
        <v>0.15713611741451394</v>
      </c>
    </row>
    <row r="29" spans="1:8" s="4" customFormat="1" ht="25.5">
      <c r="A29" s="41">
        <v>18</v>
      </c>
      <c r="B29" s="42" t="s">
        <v>56</v>
      </c>
      <c r="C29" s="67">
        <v>1347.0528125966237</v>
      </c>
      <c r="D29" s="67">
        <v>1246.4847003</v>
      </c>
      <c r="E29" s="67">
        <v>5196.3623107434942</v>
      </c>
      <c r="F29" s="67">
        <v>4314.0613462454749</v>
      </c>
      <c r="G29" s="58">
        <f t="shared" si="0"/>
        <v>4.1128797530931897E-2</v>
      </c>
      <c r="H29" s="58">
        <f t="shared" si="1"/>
        <v>0.20451748217857063</v>
      </c>
    </row>
    <row r="30" spans="1:8" s="4" customFormat="1" ht="25.5">
      <c r="A30" s="41">
        <v>19</v>
      </c>
      <c r="B30" s="42" t="s">
        <v>57</v>
      </c>
      <c r="C30" s="67">
        <v>280.22158339700002</v>
      </c>
      <c r="D30" s="67">
        <v>247.20939007699999</v>
      </c>
      <c r="E30" s="67">
        <v>1285.6532802880001</v>
      </c>
      <c r="F30" s="67">
        <v>1039.89113866</v>
      </c>
      <c r="G30" s="58">
        <f t="shared" si="0"/>
        <v>1.0175844234459839E-2</v>
      </c>
      <c r="H30" s="58">
        <f t="shared" si="1"/>
        <v>0.23633448972811549</v>
      </c>
    </row>
    <row r="31" spans="1:8" s="4" customFormat="1" ht="25.5">
      <c r="A31" s="41">
        <v>20</v>
      </c>
      <c r="B31" s="42" t="s">
        <v>58</v>
      </c>
      <c r="C31" s="67">
        <v>1381.4282000000001</v>
      </c>
      <c r="D31" s="67">
        <v>1106.0147999999999</v>
      </c>
      <c r="E31" s="67">
        <v>7191.1027000000004</v>
      </c>
      <c r="F31" s="67">
        <v>6250.7248</v>
      </c>
      <c r="G31" s="58">
        <f t="shared" si="0"/>
        <v>5.6917010263304799E-2</v>
      </c>
      <c r="H31" s="58">
        <f t="shared" si="1"/>
        <v>0.15044301742415542</v>
      </c>
    </row>
    <row r="32" spans="1:8" s="4" customFormat="1" ht="25.5">
      <c r="A32" s="41">
        <v>21</v>
      </c>
      <c r="B32" s="42" t="s">
        <v>59</v>
      </c>
      <c r="C32" s="67">
        <v>2021.6</v>
      </c>
      <c r="D32" s="67">
        <v>2310.59</v>
      </c>
      <c r="E32" s="67">
        <v>16249.630000000001</v>
      </c>
      <c r="F32" s="67">
        <v>15942.78</v>
      </c>
      <c r="G32" s="58">
        <f t="shared" si="0"/>
        <v>0.12861453883629079</v>
      </c>
      <c r="H32" s="58">
        <f t="shared" si="1"/>
        <v>1.9246956929719932E-2</v>
      </c>
    </row>
    <row r="33" spans="1:8" s="4" customFormat="1" ht="25.5">
      <c r="A33" s="41">
        <v>22</v>
      </c>
      <c r="B33" s="42" t="s">
        <v>60</v>
      </c>
      <c r="C33" s="68">
        <v>1083.17</v>
      </c>
      <c r="D33" s="68">
        <v>967.91</v>
      </c>
      <c r="E33" s="67">
        <v>7963.47</v>
      </c>
      <c r="F33" s="67">
        <v>7179.3499999999995</v>
      </c>
      <c r="G33" s="58">
        <f t="shared" si="0"/>
        <v>6.3030236478408219E-2</v>
      </c>
      <c r="H33" s="58">
        <f t="shared" si="1"/>
        <v>0.10921880114495057</v>
      </c>
    </row>
    <row r="34" spans="1:8" s="4" customFormat="1" ht="25.5">
      <c r="A34" s="41">
        <v>23</v>
      </c>
      <c r="B34" s="42" t="s">
        <v>61</v>
      </c>
      <c r="C34" s="67">
        <v>1393.19</v>
      </c>
      <c r="D34" s="67">
        <v>1295.7</v>
      </c>
      <c r="E34" s="67">
        <v>8748.83</v>
      </c>
      <c r="F34" s="67">
        <v>7942.0199999999995</v>
      </c>
      <c r="G34" s="58">
        <f t="shared" si="0"/>
        <v>6.9246298888473515E-2</v>
      </c>
      <c r="H34" s="58">
        <f t="shared" si="1"/>
        <v>0.1015875054457179</v>
      </c>
    </row>
    <row r="35" spans="1:8" s="4" customFormat="1" ht="25.5">
      <c r="A35" s="41">
        <v>24</v>
      </c>
      <c r="B35" s="42" t="s">
        <v>62</v>
      </c>
      <c r="C35" s="67">
        <v>625.07794909999996</v>
      </c>
      <c r="D35" s="67">
        <v>609.3523907</v>
      </c>
      <c r="E35" s="67">
        <v>2125.6810271559998</v>
      </c>
      <c r="F35" s="67">
        <v>1927.7006968999999</v>
      </c>
      <c r="G35" s="58">
        <f t="shared" si="0"/>
        <v>1.6824597545957776E-2</v>
      </c>
      <c r="H35" s="58">
        <f t="shared" si="1"/>
        <v>0.10270283689494883</v>
      </c>
    </row>
    <row r="36" spans="1:8" s="4" customFormat="1" ht="25.5">
      <c r="A36" s="41">
        <v>25</v>
      </c>
      <c r="B36" s="42" t="s">
        <v>63</v>
      </c>
      <c r="C36" s="67">
        <v>93.26</v>
      </c>
      <c r="D36" s="67">
        <v>72.599999999999994</v>
      </c>
      <c r="E36" s="67">
        <v>392.71999999999997</v>
      </c>
      <c r="F36" s="67">
        <v>270.62</v>
      </c>
      <c r="G36" s="58">
        <f t="shared" si="0"/>
        <v>3.108347801875373E-3</v>
      </c>
      <c r="H36" s="58">
        <f t="shared" si="1"/>
        <v>0.45118616510235743</v>
      </c>
    </row>
    <row r="37" spans="1:8" s="4" customFormat="1" ht="25.5">
      <c r="A37" s="41"/>
      <c r="B37" s="65" t="s">
        <v>64</v>
      </c>
      <c r="C37" s="69">
        <f>SUM(C12:C36)</f>
        <v>19651.48719311817</v>
      </c>
      <c r="D37" s="69">
        <f t="shared" ref="D37" si="2">SUM(D12:D36)</f>
        <v>19290.73577803584</v>
      </c>
      <c r="E37" s="69">
        <f t="shared" ref="E37" si="3">SUM(E12:E36)</f>
        <v>108258.60921117035</v>
      </c>
      <c r="F37" s="69">
        <f t="shared" ref="F37" si="4">SUM(F12:F36)</f>
        <v>99340.717655885819</v>
      </c>
      <c r="G37" s="61">
        <f t="shared" si="0"/>
        <v>0.85685834685176809</v>
      </c>
      <c r="H37" s="61">
        <f t="shared" si="1"/>
        <v>8.9770758312577525E-2</v>
      </c>
    </row>
    <row r="38" spans="1:8" s="4" customFormat="1" ht="25.5">
      <c r="A38" s="41">
        <v>26</v>
      </c>
      <c r="B38" s="42" t="s">
        <v>65</v>
      </c>
      <c r="C38" s="67">
        <v>304.44699749748952</v>
      </c>
      <c r="D38" s="67">
        <v>214.382593503192</v>
      </c>
      <c r="E38" s="67">
        <v>1710.0004172974895</v>
      </c>
      <c r="F38" s="67">
        <v>1244.4694747243682</v>
      </c>
      <c r="G38" s="58">
        <f t="shared" si="0"/>
        <v>1.3534518329376202E-2</v>
      </c>
      <c r="H38" s="58">
        <f t="shared" si="1"/>
        <v>0.37407984046875048</v>
      </c>
    </row>
    <row r="39" spans="1:8" s="4" customFormat="1" ht="25.5">
      <c r="A39" s="41">
        <v>27</v>
      </c>
      <c r="B39" s="42" t="s">
        <v>66</v>
      </c>
      <c r="C39" s="67">
        <v>788.43577170000003</v>
      </c>
      <c r="D39" s="67">
        <v>608.23266569999998</v>
      </c>
      <c r="E39" s="67">
        <v>3449.39</v>
      </c>
      <c r="F39" s="67">
        <v>2637.4938600999999</v>
      </c>
      <c r="G39" s="58">
        <f t="shared" ref="G39:G41" si="5">E39/$E$95</f>
        <v>2.7301649583191312E-2</v>
      </c>
      <c r="H39" s="58">
        <f t="shared" si="1"/>
        <v>0.30782863694295659</v>
      </c>
    </row>
    <row r="40" spans="1:8" s="4" customFormat="1" ht="25.5">
      <c r="A40" s="41">
        <v>28</v>
      </c>
      <c r="B40" s="42" t="s">
        <v>67</v>
      </c>
      <c r="C40" s="67">
        <v>138.93079402941916</v>
      </c>
      <c r="D40" s="67">
        <v>123.19016454785984</v>
      </c>
      <c r="E40" s="67">
        <v>686.21416079040694</v>
      </c>
      <c r="F40" s="67">
        <v>616.5266101972951</v>
      </c>
      <c r="G40" s="58">
        <f t="shared" si="5"/>
        <v>5.4313309184880199E-3</v>
      </c>
      <c r="H40" s="58">
        <f t="shared" si="1"/>
        <v>0.11303251058508419</v>
      </c>
    </row>
    <row r="41" spans="1:8" s="4" customFormat="1" ht="25.5">
      <c r="A41" s="41">
        <v>29</v>
      </c>
      <c r="B41" s="42" t="s">
        <v>68</v>
      </c>
      <c r="C41" s="67">
        <v>596.57818391599994</v>
      </c>
      <c r="D41" s="67">
        <v>429.19426091600002</v>
      </c>
      <c r="E41" s="67">
        <v>2639.9940364639997</v>
      </c>
      <c r="F41" s="67">
        <v>1977.1470248910002</v>
      </c>
      <c r="G41" s="58">
        <f t="shared" si="5"/>
        <v>2.0895344418942165E-2</v>
      </c>
      <c r="H41" s="58">
        <f t="shared" si="1"/>
        <v>0.33525428469819646</v>
      </c>
    </row>
    <row r="42" spans="1:8" s="4" customFormat="1" ht="25.5">
      <c r="A42" s="41"/>
      <c r="B42" s="42" t="s">
        <v>69</v>
      </c>
      <c r="C42" s="70">
        <v>0</v>
      </c>
      <c r="D42" s="70">
        <v>0</v>
      </c>
      <c r="E42" s="70">
        <v>0</v>
      </c>
      <c r="F42" s="70">
        <v>0</v>
      </c>
      <c r="G42" s="59">
        <f>E42/$E$95</f>
        <v>0</v>
      </c>
      <c r="H42" s="59"/>
    </row>
    <row r="43" spans="1:8" s="4" customFormat="1" ht="25.5">
      <c r="A43" s="41">
        <v>30</v>
      </c>
      <c r="B43" s="42" t="s">
        <v>70</v>
      </c>
      <c r="C43" s="67">
        <v>1400.29</v>
      </c>
      <c r="D43" s="67">
        <v>1217.8897858</v>
      </c>
      <c r="E43" s="67">
        <v>6344.3</v>
      </c>
      <c r="F43" s="67">
        <v>5439.3256299000004</v>
      </c>
      <c r="G43" s="58">
        <f t="shared" ref="G43:G44" si="6">E43/$E$95</f>
        <v>5.0214633732526812E-2</v>
      </c>
      <c r="H43" s="58">
        <f t="shared" ref="H43:H48" si="7">((E43-F43)/F43)</f>
        <v>0.16637620758083521</v>
      </c>
    </row>
    <row r="44" spans="1:8" s="4" customFormat="1" ht="25.5">
      <c r="A44" s="41"/>
      <c r="B44" s="65" t="s">
        <v>71</v>
      </c>
      <c r="C44" s="71">
        <f>SUM(C38:C43)</f>
        <v>3228.6817471429085</v>
      </c>
      <c r="D44" s="71">
        <f t="shared" ref="D44" si="8">SUM(D38:D43)</f>
        <v>2592.889470467052</v>
      </c>
      <c r="E44" s="71">
        <f t="shared" ref="E44" si="9">SUM(E38:E43)</f>
        <v>14829.898614551894</v>
      </c>
      <c r="F44" s="71">
        <f t="shared" ref="F44" si="10">SUM(F38:F43)</f>
        <v>11914.962599812663</v>
      </c>
      <c r="G44" s="61">
        <f t="shared" si="6"/>
        <v>0.11737747698252449</v>
      </c>
      <c r="H44" s="61">
        <f t="shared" si="7"/>
        <v>0.24464499911943172</v>
      </c>
    </row>
    <row r="45" spans="1:8" s="4" customFormat="1" ht="25.5">
      <c r="A45" s="41">
        <v>31</v>
      </c>
      <c r="B45" s="42" t="s">
        <v>72</v>
      </c>
      <c r="C45" s="67">
        <v>1619.8970501862204</v>
      </c>
      <c r="D45" s="67">
        <v>1613.73</v>
      </c>
      <c r="E45" s="67">
        <v>2773.09</v>
      </c>
      <c r="F45" s="67">
        <v>2654.4552891559415</v>
      </c>
      <c r="G45" s="58">
        <f>E45/$E$95</f>
        <v>2.1948788464816099E-2</v>
      </c>
      <c r="H45" s="58">
        <f t="shared" si="7"/>
        <v>4.4692676244617355E-2</v>
      </c>
    </row>
    <row r="46" spans="1:8" s="4" customFormat="1" ht="25.5">
      <c r="A46" s="41">
        <v>32</v>
      </c>
      <c r="B46" s="42" t="s">
        <v>73</v>
      </c>
      <c r="C46" s="67">
        <v>53.81</v>
      </c>
      <c r="D46" s="67">
        <v>62.74</v>
      </c>
      <c r="E46" s="67">
        <v>482.05</v>
      </c>
      <c r="F46" s="67">
        <v>415.36</v>
      </c>
      <c r="G46" s="58">
        <f>E46/$E$95</f>
        <v>3.8153877008912803E-3</v>
      </c>
      <c r="H46" s="58">
        <f t="shared" si="7"/>
        <v>0.16055951463790447</v>
      </c>
    </row>
    <row r="47" spans="1:8" s="4" customFormat="1" ht="26.25">
      <c r="A47" s="43"/>
      <c r="B47" s="65" t="s">
        <v>74</v>
      </c>
      <c r="C47" s="64">
        <f>SUM(C45:C46)</f>
        <v>1673.7070501862204</v>
      </c>
      <c r="D47" s="64">
        <f t="shared" ref="D47" si="11">SUM(D45:D46)</f>
        <v>1676.47</v>
      </c>
      <c r="E47" s="64">
        <f t="shared" ref="E47" si="12">SUM(E45:E46)</f>
        <v>3255.1400000000003</v>
      </c>
      <c r="F47" s="64">
        <f t="shared" ref="F47" si="13">SUM(F45:F46)</f>
        <v>3069.8152891559416</v>
      </c>
      <c r="G47" s="61">
        <f>E47/$E$95</f>
        <v>2.5764176165707382E-2</v>
      </c>
      <c r="H47" s="61">
        <f t="shared" si="7"/>
        <v>6.0369987568540152E-2</v>
      </c>
    </row>
    <row r="48" spans="1:8" s="4" customFormat="1" ht="26.25">
      <c r="A48" s="43"/>
      <c r="B48" s="65" t="s">
        <v>75</v>
      </c>
      <c r="C48" s="60">
        <f>(C37+C44+C47)</f>
        <v>24553.875990447301</v>
      </c>
      <c r="D48" s="60">
        <f t="shared" ref="D48" si="14">(D37+D44+D47)</f>
        <v>23560.095248502894</v>
      </c>
      <c r="E48" s="60">
        <f t="shared" ref="E48" si="15">(E37+E44+E47)</f>
        <v>126343.64782572225</v>
      </c>
      <c r="F48" s="60">
        <f t="shared" ref="F48" si="16">(F37+F44+F47)</f>
        <v>114325.49554485442</v>
      </c>
      <c r="G48" s="61">
        <f>E48/$E$95</f>
        <v>1</v>
      </c>
      <c r="H48" s="61">
        <f t="shared" si="7"/>
        <v>0.10512224087541899</v>
      </c>
    </row>
    <row r="49" spans="1:8" s="6" customFormat="1" ht="20.100000000000001" customHeight="1">
      <c r="A49" s="78" t="s">
        <v>76</v>
      </c>
      <c r="B49" s="78"/>
      <c r="C49" s="78"/>
      <c r="D49" s="78"/>
      <c r="E49" s="44"/>
      <c r="F49" s="44"/>
      <c r="G49" s="45"/>
      <c r="H49" s="46"/>
    </row>
    <row r="50" spans="1:8" s="6" customFormat="1" ht="20.100000000000001" customHeight="1">
      <c r="A50" s="79" t="s">
        <v>77</v>
      </c>
      <c r="B50" s="79"/>
      <c r="C50" s="79"/>
      <c r="D50" s="79"/>
      <c r="E50" s="79"/>
      <c r="F50" s="79"/>
      <c r="G50" s="79"/>
      <c r="H50" s="79"/>
    </row>
    <row r="51" spans="1:8" ht="18">
      <c r="A51" s="47"/>
      <c r="B51" s="48"/>
      <c r="C51" s="49"/>
      <c r="D51" s="49"/>
      <c r="E51" s="49"/>
      <c r="F51" s="49"/>
      <c r="G51" s="50"/>
      <c r="H51" s="50"/>
    </row>
    <row r="52" spans="1:8" s="2" customFormat="1" ht="38.1" customHeight="1">
      <c r="A52" s="73" t="s">
        <v>78</v>
      </c>
      <c r="B52" s="73"/>
      <c r="C52" s="73"/>
      <c r="D52" s="73"/>
      <c r="E52" s="73"/>
      <c r="F52" s="73"/>
      <c r="G52" s="73"/>
      <c r="H52" s="73"/>
    </row>
    <row r="53" spans="1:8" s="2" customFormat="1" ht="38.1" customHeight="1">
      <c r="A53" s="74" t="s">
        <v>102</v>
      </c>
      <c r="B53" s="74"/>
      <c r="C53" s="74"/>
      <c r="D53" s="74"/>
      <c r="E53" s="74"/>
      <c r="F53" s="74"/>
      <c r="G53" s="74"/>
      <c r="H53" s="74"/>
    </row>
    <row r="54" spans="1:8" s="2" customFormat="1" ht="38.1" customHeight="1">
      <c r="A54" s="72" t="s">
        <v>95</v>
      </c>
      <c r="B54" s="72"/>
      <c r="C54" s="72"/>
      <c r="D54" s="72"/>
      <c r="E54" s="72"/>
      <c r="F54" s="72"/>
      <c r="G54" s="72"/>
      <c r="H54" s="72"/>
    </row>
    <row r="55" spans="1:8" s="2" customFormat="1" ht="9.9499999999999993" customHeight="1">
      <c r="A55" s="28"/>
      <c r="B55" s="28"/>
      <c r="C55" s="29"/>
      <c r="D55" s="29"/>
      <c r="E55" s="29"/>
      <c r="F55" s="29"/>
      <c r="G55" s="28"/>
      <c r="H55" s="28"/>
    </row>
    <row r="56" spans="1:8" s="4" customFormat="1" ht="48.75" customHeight="1">
      <c r="B56" s="30"/>
      <c r="C56" s="82" t="s">
        <v>79</v>
      </c>
      <c r="D56" s="82"/>
      <c r="E56" s="82"/>
      <c r="F56" s="82"/>
      <c r="G56" s="83" t="s">
        <v>94</v>
      </c>
      <c r="H56" s="83" t="s">
        <v>80</v>
      </c>
    </row>
    <row r="57" spans="1:8" s="4" customFormat="1" ht="33" customHeight="1">
      <c r="A57" s="84" t="s">
        <v>81</v>
      </c>
      <c r="B57" s="77" t="s">
        <v>82</v>
      </c>
      <c r="C57" s="77" t="s">
        <v>92</v>
      </c>
      <c r="D57" s="77"/>
      <c r="E57" s="77" t="s">
        <v>93</v>
      </c>
      <c r="F57" s="77"/>
      <c r="G57" s="83"/>
      <c r="H57" s="83"/>
    </row>
    <row r="58" spans="1:8" s="52" customFormat="1" ht="33" customHeight="1">
      <c r="A58" s="84" t="s">
        <v>81</v>
      </c>
      <c r="B58" s="77"/>
      <c r="C58" s="51" t="s">
        <v>0</v>
      </c>
      <c r="D58" s="51" t="s">
        <v>1</v>
      </c>
      <c r="E58" s="51" t="s">
        <v>0</v>
      </c>
      <c r="F58" s="51" t="s">
        <v>1</v>
      </c>
      <c r="G58" s="83"/>
      <c r="H58" s="83"/>
    </row>
    <row r="59" spans="1:8" s="4" customFormat="1" ht="24.75" customHeight="1">
      <c r="A59" s="53">
        <v>1</v>
      </c>
      <c r="B59" s="54" t="s">
        <v>24</v>
      </c>
      <c r="C59" s="67">
        <v>182.09535079999998</v>
      </c>
      <c r="D59" s="67">
        <v>148.81983539999999</v>
      </c>
      <c r="E59" s="67">
        <v>864.08</v>
      </c>
      <c r="F59" s="67">
        <v>718.15957509999998</v>
      </c>
      <c r="G59" s="58">
        <f t="shared" ref="G59:G85" si="17">E59/$E$95</f>
        <v>6.8391249965483614E-3</v>
      </c>
      <c r="H59" s="58">
        <f t="shared" ref="H59:H88" si="18">((E59-F59)/F59)</f>
        <v>0.20318663143867627</v>
      </c>
    </row>
    <row r="60" spans="1:8" s="4" customFormat="1" ht="24.75" customHeight="1">
      <c r="A60" s="53">
        <v>2</v>
      </c>
      <c r="B60" s="54" t="s">
        <v>5</v>
      </c>
      <c r="C60" s="67">
        <v>1736.2306695</v>
      </c>
      <c r="D60" s="67">
        <v>1677.8690909000004</v>
      </c>
      <c r="E60" s="67">
        <v>8867.983948000001</v>
      </c>
      <c r="F60" s="67">
        <v>9228.8130965</v>
      </c>
      <c r="G60" s="58">
        <f t="shared" si="17"/>
        <v>7.0189392981849397E-2</v>
      </c>
      <c r="H60" s="58">
        <f t="shared" si="18"/>
        <v>-3.9098109879031187E-2</v>
      </c>
    </row>
    <row r="61" spans="1:8" s="4" customFormat="1" ht="24.75" customHeight="1">
      <c r="A61" s="53">
        <v>3</v>
      </c>
      <c r="B61" s="54" t="s">
        <v>15</v>
      </c>
      <c r="C61" s="67">
        <v>720.31</v>
      </c>
      <c r="D61" s="67">
        <v>665.47</v>
      </c>
      <c r="E61" s="67">
        <v>3334.56</v>
      </c>
      <c r="F61" s="67">
        <v>2981.9300000000003</v>
      </c>
      <c r="G61" s="58">
        <f t="shared" si="17"/>
        <v>2.6392779196938134E-2</v>
      </c>
      <c r="H61" s="58">
        <f t="shared" si="18"/>
        <v>0.11825562638962002</v>
      </c>
    </row>
    <row r="62" spans="1:8" s="4" customFormat="1" ht="24.75" customHeight="1">
      <c r="A62" s="53">
        <v>4</v>
      </c>
      <c r="B62" s="54" t="s">
        <v>17</v>
      </c>
      <c r="C62" s="67">
        <v>369.65602999899204</v>
      </c>
      <c r="D62" s="67">
        <v>335.01003218000687</v>
      </c>
      <c r="E62" s="67">
        <v>2413.0826459429059</v>
      </c>
      <c r="F62" s="67">
        <v>1922.9845750830154</v>
      </c>
      <c r="G62" s="58">
        <f t="shared" si="17"/>
        <v>1.9099358673508454E-2</v>
      </c>
      <c r="H62" s="58">
        <f t="shared" si="18"/>
        <v>0.25486323562357893</v>
      </c>
    </row>
    <row r="63" spans="1:8" s="4" customFormat="1" ht="24.75" customHeight="1">
      <c r="A63" s="53">
        <v>5</v>
      </c>
      <c r="B63" s="54" t="s">
        <v>13</v>
      </c>
      <c r="C63" s="67">
        <v>649.77946200899999</v>
      </c>
      <c r="D63" s="67">
        <v>632.91721105600004</v>
      </c>
      <c r="E63" s="67">
        <v>3682.2486862760002</v>
      </c>
      <c r="F63" s="67">
        <v>3266.1345335229998</v>
      </c>
      <c r="G63" s="58">
        <f t="shared" si="17"/>
        <v>2.9144707705093923E-2</v>
      </c>
      <c r="H63" s="58">
        <f t="shared" si="18"/>
        <v>0.12740263711800043</v>
      </c>
    </row>
    <row r="64" spans="1:8" s="4" customFormat="1" ht="24.75" customHeight="1">
      <c r="A64" s="53">
        <v>6</v>
      </c>
      <c r="B64" s="54" t="s">
        <v>8</v>
      </c>
      <c r="C64" s="67">
        <v>1745.2217115907249</v>
      </c>
      <c r="D64" s="67">
        <v>2257.6413467329999</v>
      </c>
      <c r="E64" s="67">
        <v>7148.5385095001729</v>
      </c>
      <c r="F64" s="67">
        <v>6889.8219137039996</v>
      </c>
      <c r="G64" s="58">
        <f t="shared" si="17"/>
        <v>5.6580118055169888E-2</v>
      </c>
      <c r="H64" s="58">
        <f t="shared" si="18"/>
        <v>3.7550549061591949E-2</v>
      </c>
    </row>
    <row r="65" spans="1:8" s="4" customFormat="1" ht="24.75" customHeight="1">
      <c r="A65" s="53">
        <v>7</v>
      </c>
      <c r="B65" s="54" t="s">
        <v>3</v>
      </c>
      <c r="C65" s="67">
        <v>2137.3160271930019</v>
      </c>
      <c r="D65" s="67">
        <v>1941.29</v>
      </c>
      <c r="E65" s="67">
        <v>12590.365989090002</v>
      </c>
      <c r="F65" s="67">
        <v>10717.29</v>
      </c>
      <c r="G65" s="58">
        <f t="shared" si="17"/>
        <v>9.9651753022495321E-2</v>
      </c>
      <c r="H65" s="58">
        <f t="shared" si="18"/>
        <v>0.17477141974230431</v>
      </c>
    </row>
    <row r="66" spans="1:8" s="4" customFormat="1" ht="24.75" customHeight="1">
      <c r="A66" s="53">
        <v>8</v>
      </c>
      <c r="B66" s="54" t="s">
        <v>16</v>
      </c>
      <c r="C66" s="67">
        <v>740.57300595599997</v>
      </c>
      <c r="D66" s="67">
        <v>695.34543855100003</v>
      </c>
      <c r="E66" s="67">
        <v>3342.4583596439998</v>
      </c>
      <c r="F66" s="67">
        <v>4026.2721967059997</v>
      </c>
      <c r="G66" s="58">
        <f t="shared" si="17"/>
        <v>2.6455294090088084E-2</v>
      </c>
      <c r="H66" s="58">
        <f t="shared" si="18"/>
        <v>-0.16983795522355549</v>
      </c>
    </row>
    <row r="67" spans="1:8" s="4" customFormat="1" ht="24.75" customHeight="1">
      <c r="A67" s="53">
        <v>9</v>
      </c>
      <c r="B67" s="54" t="s">
        <v>100</v>
      </c>
      <c r="C67" s="67">
        <v>162.85940485972654</v>
      </c>
      <c r="D67" s="67">
        <v>119.81</v>
      </c>
      <c r="E67" s="67">
        <v>771.18265755562936</v>
      </c>
      <c r="F67" s="67">
        <v>551.62410350327821</v>
      </c>
      <c r="G67" s="58">
        <f t="shared" si="17"/>
        <v>6.103849863662276E-3</v>
      </c>
      <c r="H67" s="58">
        <f t="shared" si="18"/>
        <v>0.39802204555234116</v>
      </c>
    </row>
    <row r="68" spans="1:8" s="4" customFormat="1" ht="24.75" customHeight="1">
      <c r="A68" s="53">
        <v>10</v>
      </c>
      <c r="B68" s="54" t="s">
        <v>27</v>
      </c>
      <c r="C68" s="67">
        <v>70.764517479139997</v>
      </c>
      <c r="D68" s="67">
        <v>2.0325695539999997</v>
      </c>
      <c r="E68" s="67">
        <v>377.21154341614005</v>
      </c>
      <c r="F68" s="67">
        <v>2.0344155379999997</v>
      </c>
      <c r="G68" s="58">
        <f t="shared" si="17"/>
        <v>2.9855995921256257E-3</v>
      </c>
      <c r="H68" s="58">
        <f t="shared" si="18"/>
        <v>184.4151899503139</v>
      </c>
    </row>
    <row r="69" spans="1:8" s="4" customFormat="1" ht="24.75" customHeight="1">
      <c r="A69" s="53">
        <v>11</v>
      </c>
      <c r="B69" s="54" t="s">
        <v>23</v>
      </c>
      <c r="C69" s="66">
        <v>194.17818985699435</v>
      </c>
      <c r="D69" s="66">
        <v>178.23623876499801</v>
      </c>
      <c r="E69" s="67">
        <v>949.95257503997573</v>
      </c>
      <c r="F69" s="67">
        <v>928.72121904399023</v>
      </c>
      <c r="G69" s="58">
        <f t="shared" si="17"/>
        <v>7.5187996499066993E-3</v>
      </c>
      <c r="H69" s="58">
        <f t="shared" si="18"/>
        <v>2.2860849478426575E-2</v>
      </c>
    </row>
    <row r="70" spans="1:8" s="4" customFormat="1" ht="24.75" customHeight="1">
      <c r="A70" s="53">
        <v>12</v>
      </c>
      <c r="B70" s="54" t="s">
        <v>21</v>
      </c>
      <c r="C70" s="67">
        <v>198.62</v>
      </c>
      <c r="D70" s="67">
        <v>188.05</v>
      </c>
      <c r="E70" s="67">
        <v>1300.0209155560001</v>
      </c>
      <c r="F70" s="67">
        <v>1026.686952579</v>
      </c>
      <c r="G70" s="58">
        <f t="shared" si="17"/>
        <v>1.0289562933541717E-2</v>
      </c>
      <c r="H70" s="58">
        <f t="shared" si="18"/>
        <v>0.26622911910041824</v>
      </c>
    </row>
    <row r="71" spans="1:8" s="4" customFormat="1" ht="24.75" customHeight="1">
      <c r="A71" s="53">
        <v>13</v>
      </c>
      <c r="B71" s="54" t="s">
        <v>9</v>
      </c>
      <c r="C71" s="67">
        <v>1151.47</v>
      </c>
      <c r="D71" s="67">
        <v>1344.59</v>
      </c>
      <c r="E71" s="67">
        <v>6287.29</v>
      </c>
      <c r="F71" s="67">
        <v>6036.7625846999999</v>
      </c>
      <c r="G71" s="58">
        <f t="shared" si="17"/>
        <v>4.9763404082432815E-2</v>
      </c>
      <c r="H71" s="58">
        <f t="shared" si="18"/>
        <v>4.1500292877999626E-2</v>
      </c>
    </row>
    <row r="72" spans="1:8" s="4" customFormat="1" ht="24.75" customHeight="1">
      <c r="A72" s="53">
        <v>14</v>
      </c>
      <c r="B72" s="54" t="s">
        <v>31</v>
      </c>
      <c r="C72" s="67">
        <v>4.76</v>
      </c>
      <c r="D72" s="67">
        <v>6.88</v>
      </c>
      <c r="E72" s="67">
        <v>21.835057203101201</v>
      </c>
      <c r="F72" s="67">
        <v>27.311897007529019</v>
      </c>
      <c r="G72" s="58">
        <f t="shared" si="17"/>
        <v>1.7282275428061379E-4</v>
      </c>
      <c r="H72" s="58">
        <f t="shared" si="18"/>
        <v>-0.20052945435895678</v>
      </c>
    </row>
    <row r="73" spans="1:8" s="4" customFormat="1" ht="24.75" customHeight="1">
      <c r="A73" s="53">
        <v>15</v>
      </c>
      <c r="B73" s="54" t="s">
        <v>30</v>
      </c>
      <c r="C73" s="67">
        <v>43.448048596000149</v>
      </c>
      <c r="D73" s="67">
        <v>14.266488346001553</v>
      </c>
      <c r="E73" s="67">
        <v>204.54</v>
      </c>
      <c r="F73" s="67">
        <v>65.370359428002772</v>
      </c>
      <c r="G73" s="58">
        <f t="shared" si="17"/>
        <v>1.6189179552749764E-3</v>
      </c>
      <c r="H73" s="58">
        <f t="shared" si="18"/>
        <v>2.1289410336694732</v>
      </c>
    </row>
    <row r="74" spans="1:8" s="4" customFormat="1" ht="24.75" customHeight="1">
      <c r="A74" s="53">
        <v>16</v>
      </c>
      <c r="B74" s="54" t="s">
        <v>11</v>
      </c>
      <c r="C74" s="67">
        <v>1010.7982988935831</v>
      </c>
      <c r="D74" s="67">
        <v>928.63795531448284</v>
      </c>
      <c r="E74" s="67">
        <v>5317.5590057589225</v>
      </c>
      <c r="F74" s="67">
        <v>4673.0576159642023</v>
      </c>
      <c r="G74" s="58">
        <f t="shared" si="17"/>
        <v>4.2088059805697041E-2</v>
      </c>
      <c r="H74" s="58">
        <f t="shared" si="18"/>
        <v>0.13791856269714292</v>
      </c>
    </row>
    <row r="75" spans="1:8" s="4" customFormat="1" ht="24.75" customHeight="1">
      <c r="A75" s="53">
        <v>17</v>
      </c>
      <c r="B75" s="54" t="s">
        <v>20</v>
      </c>
      <c r="C75" s="67">
        <v>308.40593129138966</v>
      </c>
      <c r="D75" s="67">
        <v>298.0082901593529</v>
      </c>
      <c r="E75" s="67">
        <v>1632.25</v>
      </c>
      <c r="F75" s="67">
        <v>1410.5946357003122</v>
      </c>
      <c r="G75" s="58">
        <f t="shared" si="17"/>
        <v>1.291912991345253E-2</v>
      </c>
      <c r="H75" s="58">
        <f t="shared" si="18"/>
        <v>0.15713611741451394</v>
      </c>
    </row>
    <row r="76" spans="1:8" s="4" customFormat="1" ht="24.75" customHeight="1">
      <c r="A76" s="53">
        <v>18</v>
      </c>
      <c r="B76" s="54" t="s">
        <v>12</v>
      </c>
      <c r="C76" s="67">
        <v>1347.0528125966237</v>
      </c>
      <c r="D76" s="67">
        <v>1246.4847003</v>
      </c>
      <c r="E76" s="67">
        <v>5196.3623107434942</v>
      </c>
      <c r="F76" s="67">
        <v>4314.0613462454749</v>
      </c>
      <c r="G76" s="58">
        <f t="shared" si="17"/>
        <v>4.1128797530931897E-2</v>
      </c>
      <c r="H76" s="58">
        <f t="shared" si="18"/>
        <v>0.20451748217857063</v>
      </c>
    </row>
    <row r="77" spans="1:8" s="4" customFormat="1" ht="24.75" customHeight="1">
      <c r="A77" s="53">
        <v>19</v>
      </c>
      <c r="B77" s="54" t="s">
        <v>22</v>
      </c>
      <c r="C77" s="67">
        <v>280.22158339700002</v>
      </c>
      <c r="D77" s="67">
        <v>247.20939007699999</v>
      </c>
      <c r="E77" s="67">
        <v>1285.6532802880001</v>
      </c>
      <c r="F77" s="67">
        <v>1039.89113866</v>
      </c>
      <c r="G77" s="58">
        <f t="shared" si="17"/>
        <v>1.0175844234459839E-2</v>
      </c>
      <c r="H77" s="58">
        <f t="shared" si="18"/>
        <v>0.23633448972811549</v>
      </c>
    </row>
    <row r="78" spans="1:8" s="4" customFormat="1" ht="24.75" customHeight="1">
      <c r="A78" s="53">
        <v>20</v>
      </c>
      <c r="B78" s="54" t="s">
        <v>7</v>
      </c>
      <c r="C78" s="67">
        <v>1381.4282000000001</v>
      </c>
      <c r="D78" s="67">
        <v>1106.0147999999999</v>
      </c>
      <c r="E78" s="67">
        <v>7191.1027000000004</v>
      </c>
      <c r="F78" s="67">
        <v>6250.7248</v>
      </c>
      <c r="G78" s="58">
        <f t="shared" si="17"/>
        <v>5.6917010263304799E-2</v>
      </c>
      <c r="H78" s="58">
        <f t="shared" si="18"/>
        <v>0.15044301742415542</v>
      </c>
    </row>
    <row r="79" spans="1:8" s="4" customFormat="1" ht="24.75" customHeight="1">
      <c r="A79" s="53">
        <v>21</v>
      </c>
      <c r="B79" s="54" t="s">
        <v>2</v>
      </c>
      <c r="C79" s="67">
        <v>2021.6</v>
      </c>
      <c r="D79" s="67">
        <v>2310.59</v>
      </c>
      <c r="E79" s="67">
        <v>16249.630000000001</v>
      </c>
      <c r="F79" s="67">
        <v>15942.78</v>
      </c>
      <c r="G79" s="58">
        <f t="shared" si="17"/>
        <v>0.12861453883629079</v>
      </c>
      <c r="H79" s="58">
        <f t="shared" si="18"/>
        <v>1.9246956929719932E-2</v>
      </c>
    </row>
    <row r="80" spans="1:8" s="4" customFormat="1" ht="24.75" customHeight="1">
      <c r="A80" s="53">
        <v>22</v>
      </c>
      <c r="B80" s="54" t="s">
        <v>6</v>
      </c>
      <c r="C80" s="68">
        <v>1083.17</v>
      </c>
      <c r="D80" s="68">
        <v>967.91</v>
      </c>
      <c r="E80" s="67">
        <v>7963.47</v>
      </c>
      <c r="F80" s="67">
        <v>7179.3499999999995</v>
      </c>
      <c r="G80" s="58">
        <f t="shared" si="17"/>
        <v>6.3030236478408219E-2</v>
      </c>
      <c r="H80" s="58">
        <f t="shared" si="18"/>
        <v>0.10921880114495057</v>
      </c>
    </row>
    <row r="81" spans="1:8" s="4" customFormat="1" ht="24.75" customHeight="1">
      <c r="A81" s="53">
        <v>23</v>
      </c>
      <c r="B81" s="54" t="s">
        <v>4</v>
      </c>
      <c r="C81" s="67">
        <v>1393.19</v>
      </c>
      <c r="D81" s="67">
        <v>1295.7</v>
      </c>
      <c r="E81" s="67">
        <v>8748.83</v>
      </c>
      <c r="F81" s="67">
        <v>7942.0199999999995</v>
      </c>
      <c r="G81" s="58">
        <f t="shared" si="17"/>
        <v>6.9246298888473515E-2</v>
      </c>
      <c r="H81" s="58">
        <f t="shared" si="18"/>
        <v>0.1015875054457179</v>
      </c>
    </row>
    <row r="82" spans="1:8" s="4" customFormat="1" ht="24.75" customHeight="1">
      <c r="A82" s="53">
        <v>24</v>
      </c>
      <c r="B82" s="54" t="s">
        <v>18</v>
      </c>
      <c r="C82" s="67">
        <v>625.07794909999996</v>
      </c>
      <c r="D82" s="67">
        <v>609.3523907</v>
      </c>
      <c r="E82" s="67">
        <v>2125.6810271559998</v>
      </c>
      <c r="F82" s="67">
        <v>1927.7006968999999</v>
      </c>
      <c r="G82" s="58">
        <f t="shared" si="17"/>
        <v>1.6824597545957776E-2</v>
      </c>
      <c r="H82" s="58">
        <f t="shared" si="18"/>
        <v>0.10270283689494883</v>
      </c>
    </row>
    <row r="83" spans="1:8" s="4" customFormat="1" ht="24.75" customHeight="1">
      <c r="A83" s="53">
        <v>25</v>
      </c>
      <c r="B83" s="54" t="s">
        <v>28</v>
      </c>
      <c r="C83" s="67">
        <v>93.26</v>
      </c>
      <c r="D83" s="67">
        <v>72.599999999999994</v>
      </c>
      <c r="E83" s="67">
        <v>392.71999999999997</v>
      </c>
      <c r="F83" s="67">
        <v>270.62</v>
      </c>
      <c r="G83" s="58">
        <f t="shared" si="17"/>
        <v>3.108347801875373E-3</v>
      </c>
      <c r="H83" s="58">
        <f t="shared" si="18"/>
        <v>0.45118616510235743</v>
      </c>
    </row>
    <row r="84" spans="1:8" s="4" customFormat="1" ht="24.75" customHeight="1">
      <c r="A84" s="53"/>
      <c r="B84" s="63" t="s">
        <v>83</v>
      </c>
      <c r="C84" s="69">
        <f>SUM(C59:C83)</f>
        <v>19651.48719311817</v>
      </c>
      <c r="D84" s="69">
        <f t="shared" ref="D84:F84" si="19">SUM(D59:D83)</f>
        <v>19290.73577803584</v>
      </c>
      <c r="E84" s="69">
        <f t="shared" si="19"/>
        <v>108258.60921117035</v>
      </c>
      <c r="F84" s="69">
        <f t="shared" si="19"/>
        <v>99340.717655885819</v>
      </c>
      <c r="G84" s="61">
        <f t="shared" si="17"/>
        <v>0.85685834685176809</v>
      </c>
      <c r="H84" s="61">
        <f t="shared" si="18"/>
        <v>8.9770758312577525E-2</v>
      </c>
    </row>
    <row r="85" spans="1:8" s="4" customFormat="1" ht="24.75" customHeight="1">
      <c r="A85" s="53">
        <v>26</v>
      </c>
      <c r="B85" s="54" t="s">
        <v>19</v>
      </c>
      <c r="C85" s="67">
        <v>304.44699749748952</v>
      </c>
      <c r="D85" s="67">
        <v>214.382593503192</v>
      </c>
      <c r="E85" s="67">
        <v>1710.0004172974895</v>
      </c>
      <c r="F85" s="67">
        <v>1244.4694747243682</v>
      </c>
      <c r="G85" s="58">
        <f t="shared" si="17"/>
        <v>1.3534518329376202E-2</v>
      </c>
      <c r="H85" s="58">
        <f t="shared" si="18"/>
        <v>0.37407984046875048</v>
      </c>
    </row>
    <row r="86" spans="1:8" s="5" customFormat="1" ht="24.75" customHeight="1">
      <c r="A86" s="53">
        <v>27</v>
      </c>
      <c r="B86" s="54" t="s">
        <v>14</v>
      </c>
      <c r="C86" s="67">
        <v>788.43577170000003</v>
      </c>
      <c r="D86" s="67">
        <v>608.23266569999998</v>
      </c>
      <c r="E86" s="67">
        <v>3449.39</v>
      </c>
      <c r="F86" s="67">
        <v>2637.4938600999999</v>
      </c>
      <c r="G86" s="58">
        <f t="shared" ref="G86:G88" si="20">E86/$E$95</f>
        <v>2.7301649583191312E-2</v>
      </c>
      <c r="H86" s="58">
        <f t="shared" si="18"/>
        <v>0.30782863694295659</v>
      </c>
    </row>
    <row r="87" spans="1:8" s="4" customFormat="1" ht="24.75" customHeight="1">
      <c r="A87" s="53">
        <v>28</v>
      </c>
      <c r="B87" s="54" t="s">
        <v>25</v>
      </c>
      <c r="C87" s="67">
        <v>138.93079402941916</v>
      </c>
      <c r="D87" s="67">
        <v>123.19016454785984</v>
      </c>
      <c r="E87" s="67">
        <v>686.21416079040694</v>
      </c>
      <c r="F87" s="67">
        <v>616.5266101972951</v>
      </c>
      <c r="G87" s="58">
        <f t="shared" si="20"/>
        <v>5.4313309184880199E-3</v>
      </c>
      <c r="H87" s="58">
        <f t="shared" si="18"/>
        <v>0.11303251058508419</v>
      </c>
    </row>
    <row r="88" spans="1:8" s="4" customFormat="1" ht="24.75" customHeight="1">
      <c r="A88" s="53">
        <v>29</v>
      </c>
      <c r="B88" s="54" t="s">
        <v>84</v>
      </c>
      <c r="C88" s="67">
        <v>596.57818391599994</v>
      </c>
      <c r="D88" s="67">
        <v>429.19426091600002</v>
      </c>
      <c r="E88" s="67">
        <v>2639.9940364639997</v>
      </c>
      <c r="F88" s="67">
        <v>1977.1470248910002</v>
      </c>
      <c r="G88" s="58">
        <f t="shared" si="20"/>
        <v>2.0895344418942165E-2</v>
      </c>
      <c r="H88" s="58">
        <f t="shared" si="18"/>
        <v>0.33525428469819646</v>
      </c>
    </row>
    <row r="89" spans="1:8" s="4" customFormat="1" ht="24.75" customHeight="1">
      <c r="A89" s="53"/>
      <c r="B89" s="54" t="s">
        <v>85</v>
      </c>
      <c r="C89" s="70">
        <v>0</v>
      </c>
      <c r="D89" s="70">
        <v>0</v>
      </c>
      <c r="E89" s="70">
        <v>0</v>
      </c>
      <c r="F89" s="70">
        <v>0</v>
      </c>
      <c r="G89" s="59">
        <f>E89/$E$95</f>
        <v>0</v>
      </c>
      <c r="H89" s="59"/>
    </row>
    <row r="90" spans="1:8" s="4" customFormat="1" ht="24.75" customHeight="1">
      <c r="A90" s="53">
        <v>30</v>
      </c>
      <c r="B90" s="54" t="s">
        <v>10</v>
      </c>
      <c r="C90" s="67">
        <v>1400.29</v>
      </c>
      <c r="D90" s="67">
        <v>1217.8897858</v>
      </c>
      <c r="E90" s="67">
        <v>6344.3</v>
      </c>
      <c r="F90" s="67">
        <v>5439.3256299000004</v>
      </c>
      <c r="G90" s="58">
        <f t="shared" ref="G90:G91" si="21">E90/$E$95</f>
        <v>5.0214633732526812E-2</v>
      </c>
      <c r="H90" s="58">
        <f t="shared" ref="H90:H95" si="22">((E90-F90)/F90)</f>
        <v>0.16637620758083521</v>
      </c>
    </row>
    <row r="91" spans="1:8" s="4" customFormat="1" ht="24.75" customHeight="1">
      <c r="A91" s="53"/>
      <c r="B91" s="63" t="s">
        <v>86</v>
      </c>
      <c r="C91" s="71">
        <f>SUM(C85:C90)</f>
        <v>3228.6817471429085</v>
      </c>
      <c r="D91" s="71">
        <f t="shared" ref="D91:F91" si="23">SUM(D85:D90)</f>
        <v>2592.889470467052</v>
      </c>
      <c r="E91" s="71">
        <f t="shared" si="23"/>
        <v>14829.898614551894</v>
      </c>
      <c r="F91" s="71">
        <f t="shared" si="23"/>
        <v>11914.962599812663</v>
      </c>
      <c r="G91" s="61">
        <f t="shared" si="21"/>
        <v>0.11737747698252449</v>
      </c>
      <c r="H91" s="61">
        <f t="shared" si="22"/>
        <v>0.24464499911943172</v>
      </c>
    </row>
    <row r="92" spans="1:8" s="4" customFormat="1" ht="24.75" customHeight="1">
      <c r="A92" s="53">
        <v>31</v>
      </c>
      <c r="B92" s="54" t="s">
        <v>29</v>
      </c>
      <c r="C92" s="67">
        <v>1619.8970501862204</v>
      </c>
      <c r="D92" s="67">
        <v>1613.73</v>
      </c>
      <c r="E92" s="67">
        <v>2773.09</v>
      </c>
      <c r="F92" s="67">
        <v>2654.4552891559415</v>
      </c>
      <c r="G92" s="58">
        <f>E92/$E$95</f>
        <v>2.1948788464816099E-2</v>
      </c>
      <c r="H92" s="58">
        <f t="shared" si="22"/>
        <v>4.4692676244617355E-2</v>
      </c>
    </row>
    <row r="93" spans="1:8" s="4" customFormat="1" ht="24.75" customHeight="1">
      <c r="A93" s="53">
        <v>32</v>
      </c>
      <c r="B93" s="54" t="s">
        <v>26</v>
      </c>
      <c r="C93" s="67">
        <v>53.81</v>
      </c>
      <c r="D93" s="67">
        <v>62.74</v>
      </c>
      <c r="E93" s="67">
        <v>482.05</v>
      </c>
      <c r="F93" s="67">
        <v>415.36</v>
      </c>
      <c r="G93" s="58">
        <f>E93/$E$95</f>
        <v>3.8153877008912803E-3</v>
      </c>
      <c r="H93" s="58">
        <f t="shared" si="22"/>
        <v>0.16055951463790447</v>
      </c>
    </row>
    <row r="94" spans="1:8" s="4" customFormat="1" ht="26.25">
      <c r="A94" s="53"/>
      <c r="B94" s="63" t="s">
        <v>87</v>
      </c>
      <c r="C94" s="64">
        <f>SUM(C92:C93)</f>
        <v>1673.7070501862204</v>
      </c>
      <c r="D94" s="64">
        <f t="shared" ref="D94:F94" si="24">SUM(D92:D93)</f>
        <v>1676.47</v>
      </c>
      <c r="E94" s="64">
        <f t="shared" si="24"/>
        <v>3255.1400000000003</v>
      </c>
      <c r="F94" s="64">
        <f t="shared" si="24"/>
        <v>3069.8152891559416</v>
      </c>
      <c r="G94" s="61">
        <f>E94/$E$95</f>
        <v>2.5764176165707382E-2</v>
      </c>
      <c r="H94" s="61">
        <f t="shared" si="22"/>
        <v>6.0369987568540152E-2</v>
      </c>
    </row>
    <row r="95" spans="1:8" s="4" customFormat="1" ht="26.25">
      <c r="A95" s="53"/>
      <c r="B95" s="62" t="s">
        <v>88</v>
      </c>
      <c r="C95" s="60">
        <f>(C84+C91+C94)</f>
        <v>24553.875990447301</v>
      </c>
      <c r="D95" s="60">
        <f t="shared" ref="D95:F95" si="25">(D84+D91+D94)</f>
        <v>23560.095248502894</v>
      </c>
      <c r="E95" s="60">
        <f t="shared" si="25"/>
        <v>126343.64782572225</v>
      </c>
      <c r="F95" s="60">
        <f t="shared" si="25"/>
        <v>114325.49554485442</v>
      </c>
      <c r="G95" s="61">
        <f>E95/$E$95</f>
        <v>1</v>
      </c>
      <c r="H95" s="61">
        <f t="shared" si="22"/>
        <v>0.10512224087541899</v>
      </c>
    </row>
    <row r="96" spans="1:8" s="6" customFormat="1" ht="15">
      <c r="A96" s="80" t="s">
        <v>89</v>
      </c>
      <c r="B96" s="80"/>
      <c r="C96" s="80"/>
      <c r="D96" s="80"/>
      <c r="E96" s="80"/>
      <c r="F96" s="80"/>
      <c r="G96" s="80"/>
      <c r="H96" s="80"/>
    </row>
    <row r="97" spans="1:8" s="6" customFormat="1" ht="15">
      <c r="A97" s="81" t="s">
        <v>90</v>
      </c>
      <c r="B97" s="81"/>
      <c r="C97" s="81"/>
      <c r="D97" s="81"/>
      <c r="E97" s="81"/>
      <c r="F97" s="81"/>
      <c r="G97" s="81"/>
      <c r="H97" s="81"/>
    </row>
    <row r="98" spans="1:8" s="6" customFormat="1" ht="15">
      <c r="A98" s="80" t="s">
        <v>91</v>
      </c>
      <c r="B98" s="80"/>
      <c r="C98" s="80"/>
      <c r="D98" s="80"/>
      <c r="E98" s="80"/>
      <c r="F98" s="80"/>
      <c r="G98" s="80"/>
      <c r="H98" s="80"/>
    </row>
    <row r="99" spans="1:8" ht="15.75">
      <c r="B99" s="8"/>
      <c r="C99" s="9"/>
      <c r="D99" s="10"/>
      <c r="E99" s="9"/>
      <c r="F99" s="9"/>
      <c r="G99" s="8"/>
      <c r="H99" s="8"/>
    </row>
    <row r="100" spans="1:8" ht="15.75">
      <c r="B100" s="55"/>
      <c r="C100" s="56"/>
      <c r="D100" s="11"/>
      <c r="E100" s="12"/>
      <c r="F100" s="11"/>
      <c r="G100" s="13"/>
    </row>
    <row r="101" spans="1:8" ht="15.75">
      <c r="B101" s="55"/>
      <c r="C101" s="57"/>
      <c r="D101" s="15"/>
      <c r="E101" s="15"/>
      <c r="F101" s="15"/>
      <c r="G101" s="16"/>
    </row>
    <row r="102" spans="1:8" ht="15.75">
      <c r="B102" s="55"/>
      <c r="C102" s="17"/>
      <c r="D102" s="17"/>
      <c r="E102" s="17"/>
      <c r="F102" s="17"/>
      <c r="G102" s="18"/>
      <c r="H102" s="18"/>
    </row>
    <row r="107" spans="1:8">
      <c r="B107" s="19"/>
      <c r="C107" s="20"/>
      <c r="D107" s="20"/>
      <c r="E107" s="21"/>
    </row>
    <row r="108" spans="1:8">
      <c r="C108" s="20"/>
      <c r="D108" s="20"/>
      <c r="E108" s="21"/>
    </row>
    <row r="65450" spans="1:7" s="14" customFormat="1">
      <c r="A65450" s="7"/>
      <c r="B65450" s="23"/>
      <c r="C65450" s="22"/>
      <c r="D65450" s="22"/>
      <c r="E65450" s="22"/>
      <c r="F65450" s="22"/>
      <c r="G65450" s="1">
        <v>0</v>
      </c>
    </row>
  </sheetData>
  <mergeCells count="26">
    <mergeCell ref="A96:H96"/>
    <mergeCell ref="A97:H97"/>
    <mergeCell ref="A98:H98"/>
    <mergeCell ref="C56:F56"/>
    <mergeCell ref="G56:G58"/>
    <mergeCell ref="H56:H58"/>
    <mergeCell ref="A57:A58"/>
    <mergeCell ref="B57:B58"/>
    <mergeCell ref="C57:D57"/>
    <mergeCell ref="E57:F57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  <mergeCell ref="A49:D49"/>
    <mergeCell ref="A50:H50"/>
    <mergeCell ref="A52:H52"/>
    <mergeCell ref="A53:H53"/>
  </mergeCells>
  <printOptions horizontalCentered="1" verticalCentered="1"/>
  <pageMargins left="0.2" right="0.2" top="0.5" bottom="0.25" header="0" footer="0"/>
  <pageSetup paperSize="9" scale="44" fitToHeight="2" orientation="landscape" r:id="rId1"/>
  <headerFooter alignWithMargins="0"/>
  <rowBreaks count="1" manualBreakCount="1">
    <brk id="5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2024-09-05T10:19:17Z</cp:lastPrinted>
  <dcterms:created xsi:type="dcterms:W3CDTF">2024-07-04T10:52:00Z</dcterms:created>
  <dcterms:modified xsi:type="dcterms:W3CDTF">2024-09-13T10:46:53Z</dcterms:modified>
</cp:coreProperties>
</file>