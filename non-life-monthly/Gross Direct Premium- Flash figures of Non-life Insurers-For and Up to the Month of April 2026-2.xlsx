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raj\Desktop\GDP DATA APRIL 2026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2" l="1"/>
  <c r="C49" i="2"/>
  <c r="F48" i="2"/>
  <c r="E48" i="2"/>
  <c r="F47" i="2"/>
  <c r="F49" i="2" s="1"/>
  <c r="E47" i="2"/>
  <c r="E49" i="2" s="1"/>
  <c r="D46" i="2"/>
  <c r="C46" i="2"/>
  <c r="F45" i="2"/>
  <c r="E45" i="2"/>
  <c r="F44" i="2"/>
  <c r="F46" i="2" s="1"/>
  <c r="E44" i="2"/>
  <c r="E46" i="2" s="1"/>
  <c r="F43" i="2"/>
  <c r="E43" i="2"/>
  <c r="F41" i="2"/>
  <c r="E41" i="2"/>
  <c r="F40" i="2"/>
  <c r="E40" i="2"/>
  <c r="F39" i="2"/>
  <c r="E39" i="2"/>
  <c r="F38" i="2"/>
  <c r="E38" i="2"/>
  <c r="D37" i="2"/>
  <c r="D50" i="2" s="1"/>
  <c r="C37" i="2"/>
  <c r="C50" i="2" s="1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F37" i="2" s="1"/>
  <c r="E14" i="2"/>
  <c r="E37" i="2" s="1"/>
  <c r="F13" i="2"/>
  <c r="E13" i="2"/>
  <c r="F12" i="2"/>
  <c r="E12" i="2"/>
  <c r="F97" i="2"/>
  <c r="E97" i="2"/>
  <c r="F96" i="2"/>
  <c r="E96" i="2"/>
  <c r="F94" i="2"/>
  <c r="E94" i="2"/>
  <c r="F93" i="2"/>
  <c r="E93" i="2"/>
  <c r="F92" i="2"/>
  <c r="E92" i="2"/>
  <c r="F90" i="2"/>
  <c r="E90" i="2"/>
  <c r="F89" i="2"/>
  <c r="E89" i="2"/>
  <c r="F88" i="2"/>
  <c r="E88" i="2"/>
  <c r="F87" i="2"/>
  <c r="E87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F61" i="2"/>
  <c r="E61" i="2"/>
  <c r="E50" i="2" l="1"/>
  <c r="F50" i="2"/>
  <c r="H62" i="2" l="1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4" i="2"/>
  <c r="H96" i="2"/>
  <c r="H97" i="2"/>
  <c r="C86" i="2" l="1"/>
  <c r="H61" i="2" l="1"/>
  <c r="F86" i="2" l="1"/>
  <c r="E86" i="2"/>
  <c r="D86" i="2"/>
  <c r="C98" i="2"/>
  <c r="D95" i="2"/>
  <c r="C95" i="2"/>
  <c r="F95" i="2"/>
  <c r="E95" i="2"/>
  <c r="H95" i="2" l="1"/>
  <c r="H86" i="2"/>
  <c r="H39" i="2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H37" i="2" l="1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H98" i="2" l="1"/>
  <c r="D99" i="2"/>
  <c r="F99" i="2"/>
  <c r="E99" i="2"/>
  <c r="C99" i="2"/>
  <c r="G61" i="2" l="1"/>
  <c r="G65" i="2"/>
  <c r="G85" i="2"/>
  <c r="G70" i="2"/>
  <c r="G93" i="2"/>
  <c r="G94" i="2"/>
  <c r="G75" i="2"/>
  <c r="G77" i="2"/>
  <c r="G79" i="2"/>
  <c r="G80" i="2"/>
  <c r="H99" i="2"/>
  <c r="G62" i="2"/>
  <c r="G63" i="2"/>
  <c r="G64" i="2"/>
  <c r="G84" i="2"/>
  <c r="G66" i="2"/>
  <c r="G68" i="2"/>
  <c r="G88" i="2"/>
  <c r="G89" i="2"/>
  <c r="G72" i="2"/>
  <c r="G74" i="2"/>
  <c r="G97" i="2"/>
  <c r="G98" i="2"/>
  <c r="G99" i="2"/>
  <c r="G81" i="2"/>
  <c r="G82" i="2"/>
  <c r="G67" i="2"/>
  <c r="G87" i="2"/>
  <c r="G69" i="2"/>
  <c r="G90" i="2"/>
  <c r="G71" i="2"/>
  <c r="G92" i="2"/>
  <c r="G73" i="2"/>
  <c r="G95" i="2"/>
  <c r="G96" i="2"/>
  <c r="G76" i="2"/>
  <c r="G78" i="2"/>
  <c r="G83" i="2"/>
  <c r="G86" i="2"/>
  <c r="G49" i="2"/>
  <c r="G50" i="2"/>
  <c r="G46" i="2"/>
  <c r="G37" i="2"/>
</calcChain>
</file>

<file path=xl/sharedStrings.xml><?xml version="1.0" encoding="utf-8"?>
<sst xmlns="http://schemas.openxmlformats.org/spreadsheetml/2006/main" count="122" uniqueCount="106">
  <si>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</si>
  <si>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</si>
  <si>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</si>
  <si>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</si>
  <si>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</si>
  <si>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</si>
  <si>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</si>
  <si>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</si>
  <si>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</si>
  <si>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</si>
  <si>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</si>
  <si>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</si>
  <si>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</si>
  <si>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</si>
  <si>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</si>
  <si>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</si>
  <si>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</si>
  <si>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</si>
  <si>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</si>
  <si>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</si>
  <si>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</si>
  <si>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</si>
  <si>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</si>
  <si>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</si>
  <si>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</si>
  <si>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</si>
  <si>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</si>
  <si>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</si>
  <si>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</si>
  <si>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</si>
  <si>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</si>
  <si>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</si>
  <si>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</si>
  <si>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</si>
  <si>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</si>
  <si>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</si>
  <si>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</si>
  <si>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</si>
  <si>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</si>
  <si>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</si>
  <si>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</si>
  <si>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</si>
  <si>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</si>
  <si>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</si>
  <si>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</si>
  <si>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</si>
  <si>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</si>
  <si>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</si>
  <si>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</si>
  <si>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</si>
  <si>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</si>
  <si>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</si>
  <si>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</si>
  <si>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</si>
  <si>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</si>
  <si>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</si>
  <si>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</si>
  <si>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</si>
  <si>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</si>
  <si>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</si>
  <si>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</si>
  <si>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</si>
  <si>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</si>
  <si>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</si>
  <si>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</si>
  <si>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</si>
  <si>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</si>
  <si>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</si>
  <si>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</si>
  <si>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</si>
  <si>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</si>
  <si>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</si>
  <si>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</si>
  <si>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</si>
  <si>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</si>
  <si>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</si>
  <si>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</si>
  <si>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</si>
  <si>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</si>
  <si>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</si>
  <si>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</si>
  <si>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</si>
  <si>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</si>
  <si>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</si>
  <si>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</si>
  <si>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</si>
  <si>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</si>
  <si>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</si>
  <si>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</si>
  <si>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</si>
  <si>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</si>
  <si>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</si>
  <si>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</si>
  <si>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</si>
  <si>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</si>
  <si>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</si>
  <si>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</si>
  <si>
    <t>GROSS DIRECT PREMIUM UNDERWRITTEN FOR AND UPTO THE MONTH  OF APRIL, 2026</t>
  </si>
  <si>
    <t>For the Month of APRIL</t>
  </si>
  <si>
    <t>Upto the Month of APRIL</t>
  </si>
  <si>
    <t>2026-27</t>
  </si>
  <si>
    <t>अप्रैल माह के लिए</t>
  </si>
  <si>
    <t>अप्रैल माह तक</t>
  </si>
  <si>
    <t>अप्रैल , 2026 माह तक बाजार शेयर  (%)</t>
  </si>
  <si>
    <t>अप्रैल , 2026 माह और तक के लिए सकल प्रत्यक्ष प्रीमियम अधिग्रहण</t>
  </si>
  <si>
    <t>Market Share upto the Month of APRIL, 2026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</si>
</sst>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43" fontId="6" fillId="0" borderId="0" xfId="3" applyNumberFormat="1" applyFont="1" applyBorder="1" applyAlignment="1">
      <alignment vertical="center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right" vertical="center" indent="1"/>
    </xf>
    <xf numFmtId="0" fontId="15" fillId="0" borderId="0" xfId="3" applyFont="1" applyFill="1" applyBorder="1" applyAlignment="1">
      <alignment horizontal="right" wrapText="1"/>
    </xf>
    <xf numFmtId="0" fontId="3" fillId="0" borderId="0" xfId="3" applyFont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0" fontId="13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82" zoomScale="98" zoomScaleNormal="98" zoomScaleSheetLayoutView="98" workbookViewId="0">
      <selection activeCell="I60" sqref="I60"/>
    </sheetView>
  </sheetViews>
  <sheetFormatPr defaultRowHeight="12.75"/>
  <cols>
    <col min="1" max="1" width="12.85546875" style="7" customWidth="1"/>
    <col min="2" max="2" width="93.710937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6" t="s">
        <v>22</v>
      </c>
      <c r="B2" s="76"/>
      <c r="C2" s="76"/>
      <c r="D2" s="76"/>
      <c r="E2" s="76"/>
      <c r="F2" s="76"/>
      <c r="G2" s="76"/>
      <c r="H2" s="76"/>
    </row>
    <row r="3" spans="1:8" s="2" customFormat="1" ht="36" customHeight="1">
      <c r="A3" s="66" t="s">
        <v>23</v>
      </c>
      <c r="B3" s="66"/>
      <c r="C3" s="66"/>
      <c r="D3" s="66"/>
      <c r="E3" s="66"/>
      <c r="F3" s="66"/>
      <c r="G3" s="66"/>
      <c r="H3" s="66"/>
    </row>
    <row r="4" spans="1:8" s="2" customFormat="1" ht="36" customHeight="1">
      <c r="A4" s="73" t="s">
        <v>104</v>
      </c>
      <c r="B4" s="73"/>
      <c r="C4" s="73"/>
      <c r="D4" s="73"/>
      <c r="E4" s="73"/>
      <c r="F4" s="73"/>
      <c r="G4" s="73"/>
      <c r="H4" s="73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7" t="s">
        <v>24</v>
      </c>
      <c r="D6" s="77"/>
      <c r="E6" s="77"/>
      <c r="F6" s="77"/>
      <c r="G6" s="78" t="s">
        <v>103</v>
      </c>
      <c r="H6" s="78" t="s">
        <v>25</v>
      </c>
    </row>
    <row r="7" spans="1:8" s="4" customFormat="1" ht="11.25" customHeight="1">
      <c r="B7" s="20"/>
      <c r="C7" s="81" t="s">
        <v>26</v>
      </c>
      <c r="D7" s="81"/>
      <c r="E7" s="81"/>
      <c r="F7" s="81"/>
      <c r="G7" s="79"/>
      <c r="H7" s="79"/>
    </row>
    <row r="8" spans="1:8" s="22" customFormat="1" ht="32.25" customHeight="1">
      <c r="A8" s="38"/>
      <c r="B8" s="21"/>
      <c r="C8" s="82" t="s">
        <v>101</v>
      </c>
      <c r="D8" s="82"/>
      <c r="E8" s="82" t="s">
        <v>102</v>
      </c>
      <c r="F8" s="82"/>
      <c r="G8" s="79"/>
      <c r="H8" s="79"/>
    </row>
    <row r="9" spans="1:8" s="23" customFormat="1" ht="9" customHeight="1">
      <c r="A9" s="38"/>
      <c r="B9" s="21"/>
      <c r="C9" s="81" t="s">
        <v>27</v>
      </c>
      <c r="D9" s="81"/>
      <c r="E9" s="81" t="s">
        <v>26</v>
      </c>
      <c r="F9" s="81"/>
      <c r="G9" s="79"/>
      <c r="H9" s="79"/>
    </row>
    <row r="10" spans="1:8" s="24" customFormat="1" ht="47.25" customHeight="1">
      <c r="A10" s="41" t="s">
        <v>28</v>
      </c>
      <c r="B10" s="41" t="s">
        <v>29</v>
      </c>
      <c r="C10" s="64" t="s">
        <v>100</v>
      </c>
      <c r="D10" s="64" t="s">
        <v>86</v>
      </c>
      <c r="E10" s="64" t="s">
        <v>100</v>
      </c>
      <c r="F10" s="64" t="s">
        <v>86</v>
      </c>
      <c r="G10" s="80"/>
      <c r="H10" s="80"/>
    </row>
    <row r="11" spans="1:8" s="3" customFormat="1" ht="13.5" customHeight="1">
      <c r="A11" s="25" t="s">
        <v>26</v>
      </c>
      <c r="B11" s="25" t="s">
        <v>27</v>
      </c>
      <c r="C11" s="26" t="s">
        <v>27</v>
      </c>
      <c r="D11" s="26" t="s">
        <v>26</v>
      </c>
      <c r="E11" s="26" t="s">
        <v>26</v>
      </c>
      <c r="F11" s="26" t="s">
        <v>26</v>
      </c>
      <c r="G11" s="27" t="s">
        <v>26</v>
      </c>
      <c r="H11" s="27" t="s">
        <v>26</v>
      </c>
    </row>
    <row r="12" spans="1:8" s="4" customFormat="1" ht="25.5">
      <c r="A12" s="50">
        <v>1</v>
      </c>
      <c r="B12" s="53" t="s">
        <v>30</v>
      </c>
      <c r="C12" s="62">
        <v>286.52</v>
      </c>
      <c r="D12" s="62">
        <v>177.84766820000002</v>
      </c>
      <c r="E12" s="62">
        <f>C12</f>
        <v>286.52</v>
      </c>
      <c r="F12" s="62">
        <f>D12</f>
        <v>177.84766820000002</v>
      </c>
      <c r="G12" s="54">
        <f t="shared" ref="G12:G36" si="0">E12/$E$50</f>
        <v>7.8694824966831067E-3</v>
      </c>
      <c r="H12" s="54">
        <f>((E12-F12)/F12)</f>
        <v>0.61104164535793426</v>
      </c>
    </row>
    <row r="13" spans="1:8" s="4" customFormat="1" ht="25.5">
      <c r="A13" s="50">
        <v>2</v>
      </c>
      <c r="B13" s="53" t="s">
        <v>92</v>
      </c>
      <c r="C13" s="62">
        <v>2665.5457383000003</v>
      </c>
      <c r="D13" s="62">
        <v>2402.8204585000003</v>
      </c>
      <c r="E13" s="62">
        <f t="shared" ref="E13:E36" si="1">C13</f>
        <v>2665.5457383000003</v>
      </c>
      <c r="F13" s="62">
        <f t="shared" ref="F13:F36" si="2">D13</f>
        <v>2402.8204585000003</v>
      </c>
      <c r="G13" s="54">
        <f t="shared" si="0"/>
        <v>7.32111738505518E-2</v>
      </c>
      <c r="H13" s="54">
        <f t="shared" ref="H13:H46" si="3">((E13-F13)/F13)</f>
        <v>0.10934037075912466</v>
      </c>
    </row>
    <row r="14" spans="1:8" s="4" customFormat="1" ht="25.5">
      <c r="A14" s="50">
        <v>3</v>
      </c>
      <c r="B14" s="53" t="s">
        <v>31</v>
      </c>
      <c r="C14" s="62">
        <v>745.37695994399667</v>
      </c>
      <c r="D14" s="62">
        <v>708.59087089157788</v>
      </c>
      <c r="E14" s="62">
        <f t="shared" si="1"/>
        <v>745.37695994399667</v>
      </c>
      <c r="F14" s="62">
        <f t="shared" si="2"/>
        <v>708.59087089157788</v>
      </c>
      <c r="G14" s="54">
        <f t="shared" si="0"/>
        <v>2.0472326328738469E-2</v>
      </c>
      <c r="H14" s="54">
        <f t="shared" si="3"/>
        <v>5.1914427017854509E-2</v>
      </c>
    </row>
    <row r="15" spans="1:8" s="4" customFormat="1" ht="25.5">
      <c r="A15" s="50">
        <v>4</v>
      </c>
      <c r="B15" s="53" t="s">
        <v>88</v>
      </c>
      <c r="C15" s="62">
        <v>515.2367325340241</v>
      </c>
      <c r="D15" s="62">
        <v>641.0364661569273</v>
      </c>
      <c r="E15" s="62">
        <f t="shared" si="1"/>
        <v>515.2367325340241</v>
      </c>
      <c r="F15" s="62">
        <f t="shared" si="2"/>
        <v>641.0364661569273</v>
      </c>
      <c r="G15" s="54">
        <f t="shared" si="0"/>
        <v>1.4151355745932912E-2</v>
      </c>
      <c r="H15" s="54">
        <f t="shared" si="3"/>
        <v>-0.19624427043454204</v>
      </c>
    </row>
    <row r="16" spans="1:8" s="4" customFormat="1" ht="25.5">
      <c r="A16" s="50">
        <v>5</v>
      </c>
      <c r="B16" s="53" t="s">
        <v>32</v>
      </c>
      <c r="C16" s="62">
        <v>967.55</v>
      </c>
      <c r="D16" s="62">
        <v>1000.66</v>
      </c>
      <c r="E16" s="62">
        <f t="shared" si="1"/>
        <v>967.55</v>
      </c>
      <c r="F16" s="62">
        <f t="shared" si="2"/>
        <v>1000.66</v>
      </c>
      <c r="G16" s="54">
        <f t="shared" si="0"/>
        <v>2.6574472252079224E-2</v>
      </c>
      <c r="H16" s="54">
        <f t="shared" si="3"/>
        <v>-3.3088161813203301E-2</v>
      </c>
    </row>
    <row r="17" spans="1:8" s="4" customFormat="1" ht="25.5">
      <c r="A17" s="50">
        <v>6</v>
      </c>
      <c r="B17" s="53" t="s">
        <v>33</v>
      </c>
      <c r="C17" s="62">
        <v>1743.2724186459309</v>
      </c>
      <c r="D17" s="62">
        <v>1619.9245332898513</v>
      </c>
      <c r="E17" s="62">
        <f t="shared" si="1"/>
        <v>1743.2724186459309</v>
      </c>
      <c r="F17" s="62">
        <f t="shared" si="2"/>
        <v>1619.9245332898513</v>
      </c>
      <c r="G17" s="54">
        <f t="shared" si="0"/>
        <v>4.7880258919044315E-2</v>
      </c>
      <c r="H17" s="54">
        <f t="shared" si="3"/>
        <v>7.6144217104716874E-2</v>
      </c>
    </row>
    <row r="18" spans="1:8" s="4" customFormat="1" ht="25.5">
      <c r="A18" s="50">
        <v>7</v>
      </c>
      <c r="B18" s="53" t="s">
        <v>34</v>
      </c>
      <c r="C18" s="62">
        <v>3654.01</v>
      </c>
      <c r="D18" s="62">
        <v>3592.23</v>
      </c>
      <c r="E18" s="62">
        <f t="shared" si="1"/>
        <v>3654.01</v>
      </c>
      <c r="F18" s="62">
        <f t="shared" si="2"/>
        <v>3592.23</v>
      </c>
      <c r="G18" s="54">
        <f t="shared" si="0"/>
        <v>0.10036007167983052</v>
      </c>
      <c r="H18" s="54">
        <f t="shared" si="3"/>
        <v>1.7198230625544635E-2</v>
      </c>
    </row>
    <row r="19" spans="1:8" s="4" customFormat="1" ht="25.5">
      <c r="A19" s="50">
        <v>8</v>
      </c>
      <c r="B19" s="53" t="s">
        <v>35</v>
      </c>
      <c r="C19" s="62">
        <v>876.75303353676281</v>
      </c>
      <c r="D19" s="62">
        <v>783.52719555599924</v>
      </c>
      <c r="E19" s="62">
        <f t="shared" si="1"/>
        <v>876.75303353676281</v>
      </c>
      <c r="F19" s="62">
        <f t="shared" si="2"/>
        <v>783.52719555599924</v>
      </c>
      <c r="G19" s="54">
        <f t="shared" si="0"/>
        <v>2.4080666799285815E-2</v>
      </c>
      <c r="H19" s="54">
        <f t="shared" si="3"/>
        <v>0.11898226189150911</v>
      </c>
    </row>
    <row r="20" spans="1:8" s="4" customFormat="1" ht="25.5">
      <c r="A20" s="50">
        <v>9</v>
      </c>
      <c r="B20" s="53" t="s">
        <v>36</v>
      </c>
      <c r="C20" s="62">
        <v>5.98</v>
      </c>
      <c r="D20" s="62">
        <v>306.48</v>
      </c>
      <c r="E20" s="62">
        <f t="shared" si="1"/>
        <v>5.98</v>
      </c>
      <c r="F20" s="62">
        <f t="shared" si="2"/>
        <v>306.48</v>
      </c>
      <c r="G20" s="54">
        <f t="shared" si="0"/>
        <v>1.642450974806819E-4</v>
      </c>
      <c r="H20" s="54">
        <f t="shared" si="3"/>
        <v>-0.98048812320542933</v>
      </c>
    </row>
    <row r="21" spans="1:8" s="4" customFormat="1" ht="25.5">
      <c r="A21" s="50">
        <v>10</v>
      </c>
      <c r="B21" s="53" t="s">
        <v>37</v>
      </c>
      <c r="C21" s="62">
        <v>310.86333623333041</v>
      </c>
      <c r="D21" s="62">
        <v>241.12823266149317</v>
      </c>
      <c r="E21" s="62">
        <f t="shared" si="1"/>
        <v>310.86333623333041</v>
      </c>
      <c r="F21" s="62">
        <f t="shared" si="2"/>
        <v>241.12823266149317</v>
      </c>
      <c r="G21" s="54">
        <f t="shared" si="0"/>
        <v>8.5380901275607605E-3</v>
      </c>
      <c r="H21" s="54">
        <f t="shared" si="3"/>
        <v>0.28920339523134386</v>
      </c>
    </row>
    <row r="22" spans="1:8" s="4" customFormat="1" ht="25.5">
      <c r="A22" s="50">
        <v>11</v>
      </c>
      <c r="B22" s="53" t="s">
        <v>85</v>
      </c>
      <c r="C22" s="62">
        <v>376.91721669999998</v>
      </c>
      <c r="D22" s="62">
        <v>380.03447620510309</v>
      </c>
      <c r="E22" s="62">
        <f t="shared" si="1"/>
        <v>376.91721669999998</v>
      </c>
      <c r="F22" s="62">
        <f t="shared" si="2"/>
        <v>380.03447620510309</v>
      </c>
      <c r="G22" s="54">
        <f t="shared" si="0"/>
        <v>1.0352308528267358E-2</v>
      </c>
      <c r="H22" s="54">
        <f t="shared" si="3"/>
        <v>-8.2025702937033908E-3</v>
      </c>
    </row>
    <row r="23" spans="1:8" s="4" customFormat="1" ht="25.5">
      <c r="A23" s="50">
        <v>12</v>
      </c>
      <c r="B23" s="53" t="s">
        <v>38</v>
      </c>
      <c r="C23" s="4">
        <v>1605.18</v>
      </c>
      <c r="D23" s="4">
        <v>1528.74</v>
      </c>
      <c r="E23" s="62">
        <f t="shared" si="1"/>
        <v>1605.18</v>
      </c>
      <c r="F23" s="62">
        <f t="shared" si="2"/>
        <v>1528.74</v>
      </c>
      <c r="G23" s="54">
        <f t="shared" si="0"/>
        <v>4.4087449092648993E-2</v>
      </c>
      <c r="H23" s="54">
        <f t="shared" si="3"/>
        <v>5.0001962400408217E-2</v>
      </c>
    </row>
    <row r="24" spans="1:8" s="4" customFormat="1" ht="25.5">
      <c r="A24" s="50">
        <v>13</v>
      </c>
      <c r="B24" s="53" t="s">
        <v>39</v>
      </c>
      <c r="C24" s="62">
        <v>15.464496679046601</v>
      </c>
      <c r="D24" s="62">
        <v>22.684863357099999</v>
      </c>
      <c r="E24" s="62">
        <f t="shared" si="1"/>
        <v>15.464496679046601</v>
      </c>
      <c r="F24" s="62">
        <f t="shared" si="2"/>
        <v>22.684863357099999</v>
      </c>
      <c r="G24" s="54">
        <f t="shared" si="0"/>
        <v>4.2474377333439641E-4</v>
      </c>
      <c r="H24" s="54">
        <f t="shared" si="3"/>
        <v>-0.31829006701041201</v>
      </c>
    </row>
    <row r="25" spans="1:8" s="4" customFormat="1" ht="25.5">
      <c r="A25" s="50">
        <v>14</v>
      </c>
      <c r="B25" s="53" t="s">
        <v>40</v>
      </c>
      <c r="C25" s="62">
        <v>12.969062490119223</v>
      </c>
      <c r="D25" s="62">
        <v>16.352915719619034</v>
      </c>
      <c r="E25" s="62">
        <f t="shared" si="1"/>
        <v>12.969062490119223</v>
      </c>
      <c r="F25" s="62">
        <f t="shared" si="2"/>
        <v>16.352915719619034</v>
      </c>
      <c r="G25" s="54">
        <f t="shared" si="0"/>
        <v>3.5620483828138576E-4</v>
      </c>
      <c r="H25" s="54">
        <f t="shared" si="3"/>
        <v>-0.20692659874961083</v>
      </c>
    </row>
    <row r="26" spans="1:8" s="4" customFormat="1" ht="25.5">
      <c r="A26" s="50">
        <v>15</v>
      </c>
      <c r="B26" s="53" t="s">
        <v>91</v>
      </c>
      <c r="C26" s="62">
        <v>1563.9180529224705</v>
      </c>
      <c r="D26" s="62">
        <v>1479.2377818491493</v>
      </c>
      <c r="E26" s="62">
        <f t="shared" si="1"/>
        <v>1563.9180529224705</v>
      </c>
      <c r="F26" s="62">
        <f t="shared" si="2"/>
        <v>1479.2377818491493</v>
      </c>
      <c r="G26" s="54">
        <f t="shared" si="0"/>
        <v>4.2954159373586855E-2</v>
      </c>
      <c r="H26" s="54">
        <f t="shared" si="3"/>
        <v>5.7245881705012262E-2</v>
      </c>
    </row>
    <row r="27" spans="1:8" s="4" customFormat="1" ht="25.5">
      <c r="A27" s="50">
        <v>16</v>
      </c>
      <c r="B27" s="53" t="s">
        <v>41</v>
      </c>
      <c r="C27" s="62">
        <v>576.46921434961644</v>
      </c>
      <c r="D27" s="62">
        <v>520.27635659420184</v>
      </c>
      <c r="E27" s="62">
        <f t="shared" si="1"/>
        <v>576.46921434961644</v>
      </c>
      <c r="F27" s="62">
        <f t="shared" si="2"/>
        <v>520.27635659420184</v>
      </c>
      <c r="G27" s="54">
        <f t="shared" si="0"/>
        <v>1.583315088720148E-2</v>
      </c>
      <c r="H27" s="54">
        <f t="shared" si="3"/>
        <v>0.10800578777644347</v>
      </c>
    </row>
    <row r="28" spans="1:8" s="4" customFormat="1" ht="25.5">
      <c r="A28" s="50">
        <v>17</v>
      </c>
      <c r="B28" s="53" t="s">
        <v>42</v>
      </c>
      <c r="C28" s="62">
        <v>1299.5268843521039</v>
      </c>
      <c r="D28" s="62">
        <v>1290.5764446000001</v>
      </c>
      <c r="E28" s="62">
        <f t="shared" si="1"/>
        <v>1299.5268843521039</v>
      </c>
      <c r="F28" s="62">
        <f t="shared" si="2"/>
        <v>1290.5764446000001</v>
      </c>
      <c r="G28" s="54">
        <f t="shared" si="0"/>
        <v>3.5692461504879286E-2</v>
      </c>
      <c r="H28" s="54">
        <f t="shared" si="3"/>
        <v>6.9352263397911042E-3</v>
      </c>
    </row>
    <row r="29" spans="1:8" s="4" customFormat="1" ht="25.5">
      <c r="A29" s="50">
        <v>18</v>
      </c>
      <c r="B29" s="53" t="s">
        <v>43</v>
      </c>
      <c r="C29" s="62">
        <v>361.54864331300001</v>
      </c>
      <c r="D29" s="62">
        <v>290.37416779799992</v>
      </c>
      <c r="E29" s="62">
        <f t="shared" si="1"/>
        <v>361.54864331300001</v>
      </c>
      <c r="F29" s="62">
        <f t="shared" si="2"/>
        <v>290.37416779799992</v>
      </c>
      <c r="G29" s="54">
        <f t="shared" si="0"/>
        <v>9.9301993586876219E-3</v>
      </c>
      <c r="H29" s="54">
        <f t="shared" si="3"/>
        <v>0.24511297287475289</v>
      </c>
    </row>
    <row r="30" spans="1:8" s="4" customFormat="1" ht="25.5">
      <c r="A30" s="50">
        <v>19</v>
      </c>
      <c r="B30" s="53" t="s">
        <v>44</v>
      </c>
      <c r="C30" s="62">
        <v>2845.4163643349998</v>
      </c>
      <c r="D30" s="62">
        <v>2060.3756866589979</v>
      </c>
      <c r="E30" s="62">
        <f t="shared" si="1"/>
        <v>2845.4163643349998</v>
      </c>
      <c r="F30" s="62">
        <f t="shared" si="2"/>
        <v>2060.3756866589979</v>
      </c>
      <c r="G30" s="54">
        <f t="shared" si="0"/>
        <v>7.8151452865105275E-2</v>
      </c>
      <c r="H30" s="54">
        <f t="shared" si="3"/>
        <v>0.38101822049210093</v>
      </c>
    </row>
    <row r="31" spans="1:8" s="4" customFormat="1" ht="25.5">
      <c r="A31" s="50">
        <v>20</v>
      </c>
      <c r="B31" s="53" t="s">
        <v>45</v>
      </c>
      <c r="C31" s="62">
        <v>6084.9610591000001</v>
      </c>
      <c r="D31" s="62">
        <v>6026.63</v>
      </c>
      <c r="E31" s="62">
        <f t="shared" si="1"/>
        <v>6084.9610591000001</v>
      </c>
      <c r="F31" s="62">
        <f t="shared" si="2"/>
        <v>6026.63</v>
      </c>
      <c r="G31" s="54">
        <f t="shared" si="0"/>
        <v>0.16712793015351721</v>
      </c>
      <c r="H31" s="54">
        <f t="shared" si="3"/>
        <v>9.678885065119304E-3</v>
      </c>
    </row>
    <row r="32" spans="1:8" s="4" customFormat="1" ht="25.5">
      <c r="A32" s="50">
        <v>21</v>
      </c>
      <c r="B32" s="53" t="s">
        <v>46</v>
      </c>
      <c r="C32" s="62">
        <v>2661.5929853900002</v>
      </c>
      <c r="D32" s="62">
        <v>2629.8808917599999</v>
      </c>
      <c r="E32" s="62">
        <f t="shared" si="1"/>
        <v>2661.5929853900002</v>
      </c>
      <c r="F32" s="62">
        <f t="shared" si="2"/>
        <v>2629.8808917599999</v>
      </c>
      <c r="G32" s="54">
        <f t="shared" si="0"/>
        <v>7.3102608585163834E-2</v>
      </c>
      <c r="H32" s="54">
        <f t="shared" si="3"/>
        <v>1.2058376380984125E-2</v>
      </c>
    </row>
    <row r="33" spans="1:8" s="4" customFormat="1" ht="25.5">
      <c r="A33" s="50">
        <v>22</v>
      </c>
      <c r="B33" s="53" t="s">
        <v>47</v>
      </c>
      <c r="C33" s="62">
        <v>2117.2399999999998</v>
      </c>
      <c r="D33" s="62">
        <v>2093.11</v>
      </c>
      <c r="E33" s="62">
        <f t="shared" si="1"/>
        <v>2117.2399999999998</v>
      </c>
      <c r="F33" s="62">
        <f t="shared" si="2"/>
        <v>2093.11</v>
      </c>
      <c r="G33" s="54">
        <f t="shared" si="0"/>
        <v>5.8151553543478077E-2</v>
      </c>
      <c r="H33" s="54">
        <f t="shared" si="3"/>
        <v>1.152829999378898E-2</v>
      </c>
    </row>
    <row r="34" spans="1:8" s="4" customFormat="1" ht="25.5">
      <c r="A34" s="50">
        <v>23</v>
      </c>
      <c r="B34" s="53" t="s">
        <v>48</v>
      </c>
      <c r="C34" s="62">
        <v>695.5616956450275</v>
      </c>
      <c r="D34" s="62">
        <v>472.84402027479695</v>
      </c>
      <c r="E34" s="62">
        <f t="shared" si="1"/>
        <v>695.5616956450275</v>
      </c>
      <c r="F34" s="62">
        <f t="shared" si="2"/>
        <v>472.84402027479695</v>
      </c>
      <c r="G34" s="54">
        <f t="shared" si="0"/>
        <v>1.9104113462382263E-2</v>
      </c>
      <c r="H34" s="54">
        <f t="shared" si="3"/>
        <v>0.47101721882999908</v>
      </c>
    </row>
    <row r="35" spans="1:8" s="4" customFormat="1" ht="25.5">
      <c r="A35" s="50">
        <v>24</v>
      </c>
      <c r="B35" s="53" t="s">
        <v>49</v>
      </c>
      <c r="C35" s="62">
        <v>141.77000000000001</v>
      </c>
      <c r="D35" s="62">
        <v>86.08</v>
      </c>
      <c r="E35" s="62">
        <f t="shared" si="1"/>
        <v>141.77000000000001</v>
      </c>
      <c r="F35" s="62">
        <f t="shared" si="2"/>
        <v>86.08</v>
      </c>
      <c r="G35" s="54">
        <f t="shared" si="0"/>
        <v>3.8938173026482063E-3</v>
      </c>
      <c r="H35" s="54">
        <f t="shared" si="3"/>
        <v>0.64695631970260237</v>
      </c>
    </row>
    <row r="36" spans="1:8" s="4" customFormat="1" ht="25.5">
      <c r="A36" s="50">
        <v>25</v>
      </c>
      <c r="B36" s="53" t="s">
        <v>78</v>
      </c>
      <c r="C36" s="62">
        <v>210.887140088</v>
      </c>
      <c r="D36" s="62">
        <v>233.66128843357319</v>
      </c>
      <c r="E36" s="62">
        <f t="shared" si="1"/>
        <v>210.887140088</v>
      </c>
      <c r="F36" s="62">
        <f t="shared" si="2"/>
        <v>233.66128843357319</v>
      </c>
      <c r="G36" s="54">
        <f t="shared" si="0"/>
        <v>5.7921703814675218E-3</v>
      </c>
      <c r="H36" s="54">
        <f t="shared" si="3"/>
        <v>-9.7466501611145506E-2</v>
      </c>
    </row>
    <row r="37" spans="1:8" s="4" customFormat="1" ht="25.5">
      <c r="A37" s="50"/>
      <c r="B37" s="55" t="s">
        <v>50</v>
      </c>
      <c r="C37" s="47">
        <f>SUM(C12:C36)</f>
        <v>32340.531034558429</v>
      </c>
      <c r="D37" s="47">
        <f>SUM(D12:D36)</f>
        <v>30605.104318506394</v>
      </c>
      <c r="E37" s="47">
        <f>SUM(E12:E36)</f>
        <v>32340.531034558429</v>
      </c>
      <c r="F37" s="47">
        <f>SUM(F12:F36)</f>
        <v>30605.104318506394</v>
      </c>
      <c r="G37" s="56">
        <f t="shared" ref="G37" si="4">E37/$E$99</f>
        <v>0.88825646694783733</v>
      </c>
      <c r="H37" s="57">
        <f t="shared" si="3"/>
        <v>5.6703832732981484E-2</v>
      </c>
    </row>
    <row r="38" spans="1:8" s="4" customFormat="1" ht="25.5">
      <c r="A38" s="50">
        <v>26</v>
      </c>
      <c r="B38" s="53" t="s">
        <v>51</v>
      </c>
      <c r="C38" s="62">
        <v>731.97999279999999</v>
      </c>
      <c r="D38" s="62">
        <v>438.37758897787791</v>
      </c>
      <c r="E38" s="62">
        <f t="shared" ref="E38:E41" si="5">C38</f>
        <v>731.97999279999999</v>
      </c>
      <c r="F38" s="62">
        <f t="shared" ref="F38:F41" si="6">D38</f>
        <v>438.37758897787791</v>
      </c>
      <c r="G38" s="54">
        <f t="shared" ref="G38:G45" si="7">E38/$E$50</f>
        <v>2.010436877447238E-2</v>
      </c>
      <c r="H38" s="54">
        <f t="shared" si="3"/>
        <v>0.66974774989452823</v>
      </c>
    </row>
    <row r="39" spans="1:8" s="4" customFormat="1" ht="25.5">
      <c r="A39" s="50">
        <v>27</v>
      </c>
      <c r="B39" s="53" t="s">
        <v>52</v>
      </c>
      <c r="C39" s="62">
        <v>1008.7662129</v>
      </c>
      <c r="D39" s="62">
        <v>724.48154479968809</v>
      </c>
      <c r="E39" s="62">
        <f t="shared" si="5"/>
        <v>1008.7662129</v>
      </c>
      <c r="F39" s="62">
        <f t="shared" si="6"/>
        <v>724.48154479968809</v>
      </c>
      <c r="G39" s="54">
        <f t="shared" si="7"/>
        <v>2.7706505848324216E-2</v>
      </c>
      <c r="H39" s="54">
        <f t="shared" si="3"/>
        <v>0.39239739112873301</v>
      </c>
    </row>
    <row r="40" spans="1:8" s="4" customFormat="1" ht="25.5">
      <c r="A40" s="50">
        <v>28</v>
      </c>
      <c r="B40" s="53" t="s">
        <v>53</v>
      </c>
      <c r="C40" s="62">
        <v>279.97981722248869</v>
      </c>
      <c r="D40" s="62">
        <v>183.78540067024488</v>
      </c>
      <c r="E40" s="62">
        <f t="shared" si="5"/>
        <v>279.97981722248869</v>
      </c>
      <c r="F40" s="62">
        <f t="shared" si="6"/>
        <v>183.78540067024488</v>
      </c>
      <c r="G40" s="54">
        <f t="shared" si="7"/>
        <v>7.6898515672794571E-3</v>
      </c>
      <c r="H40" s="54">
        <f t="shared" si="3"/>
        <v>0.52340619114158948</v>
      </c>
    </row>
    <row r="41" spans="1:8" s="4" customFormat="1" ht="25.5">
      <c r="A41" s="50">
        <v>29</v>
      </c>
      <c r="B41" s="53" t="s">
        <v>54</v>
      </c>
      <c r="C41" s="62">
        <v>629.25987145430361</v>
      </c>
      <c r="D41" s="62">
        <v>483.06852634600011</v>
      </c>
      <c r="E41" s="62">
        <f t="shared" si="5"/>
        <v>629.25987145430361</v>
      </c>
      <c r="F41" s="62">
        <f t="shared" si="6"/>
        <v>483.06852634600011</v>
      </c>
      <c r="G41" s="54">
        <f t="shared" si="7"/>
        <v>1.728308510496546E-2</v>
      </c>
      <c r="H41" s="54">
        <f t="shared" si="3"/>
        <v>0.30263065618063728</v>
      </c>
    </row>
    <row r="42" spans="1:8" s="4" customFormat="1" ht="25.5">
      <c r="A42" s="50"/>
      <c r="B42" s="53" t="s">
        <v>55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44">
        <v>0</v>
      </c>
    </row>
    <row r="43" spans="1:8" s="4" customFormat="1" ht="25.5">
      <c r="A43" s="50">
        <v>30</v>
      </c>
      <c r="B43" s="53" t="s">
        <v>56</v>
      </c>
      <c r="C43" s="62">
        <v>1264.54</v>
      </c>
      <c r="D43" s="62">
        <v>1060.1300000000001</v>
      </c>
      <c r="E43" s="62">
        <f t="shared" ref="E43:E45" si="8">C43</f>
        <v>1264.54</v>
      </c>
      <c r="F43" s="62">
        <f t="shared" ref="F43:F45" si="9">D43</f>
        <v>1060.1300000000001</v>
      </c>
      <c r="G43" s="54">
        <f t="shared" si="7"/>
        <v>3.4731520998030348E-2</v>
      </c>
      <c r="H43" s="54">
        <f t="shared" si="3"/>
        <v>0.19281597539924333</v>
      </c>
    </row>
    <row r="44" spans="1:8" s="4" customFormat="1" ht="25.5">
      <c r="A44" s="50">
        <v>31</v>
      </c>
      <c r="B44" s="53" t="s">
        <v>81</v>
      </c>
      <c r="C44" s="62">
        <v>17.902915586337599</v>
      </c>
      <c r="D44" s="62">
        <v>0.40260000000000001</v>
      </c>
      <c r="E44" s="62">
        <f t="shared" si="8"/>
        <v>17.902915586337599</v>
      </c>
      <c r="F44" s="62">
        <f t="shared" si="9"/>
        <v>0.40260000000000001</v>
      </c>
      <c r="G44" s="54">
        <f t="shared" si="7"/>
        <v>4.9171674175024055E-4</v>
      </c>
      <c r="H44" s="54">
        <f t="shared" si="3"/>
        <v>43.468245370932934</v>
      </c>
    </row>
    <row r="45" spans="1:8" s="4" customFormat="1" ht="25.5">
      <c r="A45" s="50">
        <v>32</v>
      </c>
      <c r="B45" s="53" t="s">
        <v>83</v>
      </c>
      <c r="C45" s="62">
        <v>13.089704818751413</v>
      </c>
      <c r="D45" s="62">
        <v>3.3939890503333316</v>
      </c>
      <c r="E45" s="62">
        <f t="shared" si="8"/>
        <v>13.089704818751413</v>
      </c>
      <c r="F45" s="62">
        <f t="shared" si="9"/>
        <v>3.3939890503333316</v>
      </c>
      <c r="G45" s="54">
        <f t="shared" si="7"/>
        <v>3.5951836855337415E-4</v>
      </c>
      <c r="H45" s="44">
        <v>0</v>
      </c>
    </row>
    <row r="46" spans="1:8" s="4" customFormat="1" ht="25.5">
      <c r="A46" s="50"/>
      <c r="B46" s="55" t="s">
        <v>57</v>
      </c>
      <c r="C46" s="49">
        <f>SUM(C38:C45)</f>
        <v>3945.5185147818811</v>
      </c>
      <c r="D46" s="49">
        <f>SUM(D38:D45)</f>
        <v>2893.6396498441445</v>
      </c>
      <c r="E46" s="49">
        <f>SUM(E38:E45)</f>
        <v>3945.5185147818811</v>
      </c>
      <c r="F46" s="49">
        <f>SUM(F38:F45)</f>
        <v>2893.6396498441445</v>
      </c>
      <c r="G46" s="56">
        <f t="shared" ref="G46" si="10">E46/$E$99</f>
        <v>0.10836656740337547</v>
      </c>
      <c r="H46" s="57">
        <f t="shared" si="3"/>
        <v>0.36351411793600225</v>
      </c>
    </row>
    <row r="47" spans="1:8" s="4" customFormat="1" ht="25.5">
      <c r="A47" s="50">
        <v>33</v>
      </c>
      <c r="B47" s="53" t="s">
        <v>58</v>
      </c>
      <c r="C47" s="62">
        <v>16.481947361</v>
      </c>
      <c r="D47" s="62">
        <v>5.7780537220666623</v>
      </c>
      <c r="E47" s="62">
        <f t="shared" ref="E47:E48" si="11">C47</f>
        <v>16.481947361</v>
      </c>
      <c r="F47" s="62">
        <f t="shared" ref="F47:F48" si="12">D47</f>
        <v>5.7780537220666623</v>
      </c>
      <c r="G47" s="54">
        <f>E47/$E$50</f>
        <v>4.5268880451152383E-4</v>
      </c>
      <c r="H47" s="54">
        <f t="shared" ref="H47:H50" si="13">((E47-F47)/F47)</f>
        <v>1.852508500925607</v>
      </c>
    </row>
    <row r="48" spans="1:8" s="4" customFormat="1" ht="25.5">
      <c r="A48" s="50">
        <v>34</v>
      </c>
      <c r="B48" s="53" t="s">
        <v>59</v>
      </c>
      <c r="C48" s="62">
        <v>106.47</v>
      </c>
      <c r="D48" s="62">
        <v>87.66</v>
      </c>
      <c r="E48" s="62">
        <f t="shared" si="11"/>
        <v>106.47</v>
      </c>
      <c r="F48" s="62">
        <f t="shared" si="12"/>
        <v>87.66</v>
      </c>
      <c r="G48" s="54">
        <f>E48/$E$50</f>
        <v>2.924276844275619E-3</v>
      </c>
      <c r="H48" s="54">
        <f t="shared" si="13"/>
        <v>0.21457905544147848</v>
      </c>
    </row>
    <row r="49" spans="1:8" s="4" customFormat="1" ht="26.25">
      <c r="A49" s="58"/>
      <c r="B49" s="55" t="s">
        <v>60</v>
      </c>
      <c r="C49" s="51">
        <f>SUM(C47:C48)</f>
        <v>122.95194736099999</v>
      </c>
      <c r="D49" s="51">
        <f t="shared" ref="D49:F49" si="14">SUM(D47:D48)</f>
        <v>93.438053722066655</v>
      </c>
      <c r="E49" s="51">
        <f t="shared" si="14"/>
        <v>122.95194736099999</v>
      </c>
      <c r="F49" s="51">
        <f t="shared" si="14"/>
        <v>93.438053722066655</v>
      </c>
      <c r="G49" s="56">
        <f>E49/$E$99</f>
        <v>3.3769656487871425E-3</v>
      </c>
      <c r="H49" s="56">
        <f t="shared" si="13"/>
        <v>0.31586588614873123</v>
      </c>
    </row>
    <row r="50" spans="1:8" s="4" customFormat="1" ht="26.25">
      <c r="A50" s="58"/>
      <c r="B50" s="55" t="s">
        <v>61</v>
      </c>
      <c r="C50" s="63">
        <f>(C37+C46+C49)</f>
        <v>36409.001496701312</v>
      </c>
      <c r="D50" s="63">
        <f>(D37+D46+D49)</f>
        <v>33592.1820220726</v>
      </c>
      <c r="E50" s="63">
        <f>(E37+E46+E49)</f>
        <v>36409.001496701312</v>
      </c>
      <c r="F50" s="63">
        <f>(F37+F46+F49)</f>
        <v>33592.1820220726</v>
      </c>
      <c r="G50" s="56">
        <f>E50/$E$99</f>
        <v>1</v>
      </c>
      <c r="H50" s="56">
        <f t="shared" si="13"/>
        <v>8.3853423775146513E-2</v>
      </c>
    </row>
    <row r="51" spans="1:8" s="6" customFormat="1" ht="20.100000000000001" customHeight="1">
      <c r="A51" s="74" t="s">
        <v>62</v>
      </c>
      <c r="B51" s="74"/>
      <c r="C51" s="74"/>
      <c r="D51" s="74"/>
      <c r="E51" s="28"/>
      <c r="F51" s="28"/>
      <c r="G51" s="29"/>
      <c r="H51" s="30"/>
    </row>
    <row r="52" spans="1:8" s="6" customFormat="1" ht="20.100000000000001" customHeight="1">
      <c r="A52" s="75" t="s">
        <v>63</v>
      </c>
      <c r="B52" s="75"/>
      <c r="C52" s="75"/>
      <c r="D52" s="75"/>
      <c r="E52" s="75"/>
      <c r="F52" s="75"/>
      <c r="G52" s="75"/>
      <c r="H52" s="75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76" t="s">
        <v>64</v>
      </c>
      <c r="B54" s="76"/>
      <c r="C54" s="76"/>
      <c r="D54" s="76"/>
      <c r="E54" s="76"/>
      <c r="F54" s="76"/>
      <c r="G54" s="76"/>
      <c r="H54" s="76"/>
    </row>
    <row r="55" spans="1:8" s="2" customFormat="1" ht="38.1" customHeight="1">
      <c r="A55" s="66" t="s">
        <v>79</v>
      </c>
      <c r="B55" s="66"/>
      <c r="C55" s="66"/>
      <c r="D55" s="66"/>
      <c r="E55" s="66"/>
      <c r="F55" s="66"/>
      <c r="G55" s="66"/>
      <c r="H55" s="66"/>
    </row>
    <row r="56" spans="1:8" s="2" customFormat="1" ht="38.1" customHeight="1">
      <c r="A56" s="73" t="s">
        <v>97</v>
      </c>
      <c r="B56" s="73"/>
      <c r="C56" s="73"/>
      <c r="D56" s="73"/>
      <c r="E56" s="73"/>
      <c r="F56" s="73"/>
      <c r="G56" s="73"/>
      <c r="H56" s="73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68" t="s">
        <v>65</v>
      </c>
      <c r="D58" s="68"/>
      <c r="E58" s="68"/>
      <c r="F58" s="68"/>
      <c r="G58" s="69" t="s">
        <v>105</v>
      </c>
      <c r="H58" s="69" t="s">
        <v>66</v>
      </c>
    </row>
    <row r="59" spans="1:8" s="4" customFormat="1" ht="33" customHeight="1">
      <c r="A59" s="70" t="s">
        <v>67</v>
      </c>
      <c r="B59" s="71" t="s">
        <v>68</v>
      </c>
      <c r="C59" s="72" t="s">
        <v>98</v>
      </c>
      <c r="D59" s="72"/>
      <c r="E59" s="72" t="s">
        <v>99</v>
      </c>
      <c r="F59" s="72"/>
      <c r="G59" s="69"/>
      <c r="H59" s="69"/>
    </row>
    <row r="60" spans="1:8" s="36" customFormat="1" ht="70.5" customHeight="1">
      <c r="A60" s="70" t="s">
        <v>67</v>
      </c>
      <c r="B60" s="71"/>
      <c r="C60" s="35" t="s">
        <v>100</v>
      </c>
      <c r="D60" s="64" t="s">
        <v>86</v>
      </c>
      <c r="E60" s="64" t="s">
        <v>100</v>
      </c>
      <c r="F60" s="64" t="s">
        <v>86</v>
      </c>
      <c r="G60" s="69"/>
      <c r="H60" s="69"/>
    </row>
    <row r="61" spans="1:8" s="4" customFormat="1" ht="24.75" customHeight="1">
      <c r="A61" s="42">
        <v>1</v>
      </c>
      <c r="B61" s="43" t="s">
        <v>16</v>
      </c>
      <c r="C61" s="62">
        <v>286.52</v>
      </c>
      <c r="D61" s="62">
        <v>177.84766820000002</v>
      </c>
      <c r="E61" s="62">
        <f>C61</f>
        <v>286.52</v>
      </c>
      <c r="F61" s="62">
        <f>D61</f>
        <v>177.84766820000002</v>
      </c>
      <c r="G61" s="45">
        <f t="shared" ref="G61:G99" si="15">E61/$E$99</f>
        <v>7.8694824966831067E-3</v>
      </c>
      <c r="H61" s="45">
        <f t="shared" ref="H61:H99" si="16">((E61-F61)/F61)</f>
        <v>0.61104164535793426</v>
      </c>
    </row>
    <row r="62" spans="1:8" s="4" customFormat="1" ht="24.75" customHeight="1">
      <c r="A62" s="42">
        <v>2</v>
      </c>
      <c r="B62" s="43" t="s">
        <v>89</v>
      </c>
      <c r="C62" s="62">
        <v>2665.5457383000003</v>
      </c>
      <c r="D62" s="62">
        <v>2402.8204585000003</v>
      </c>
      <c r="E62" s="62">
        <f t="shared" ref="E62:E85" si="17">C62</f>
        <v>2665.5457383000003</v>
      </c>
      <c r="F62" s="62">
        <f t="shared" ref="F62:F85" si="18">D62</f>
        <v>2402.8204585000003</v>
      </c>
      <c r="G62" s="45">
        <f t="shared" si="15"/>
        <v>7.32111738505518E-2</v>
      </c>
      <c r="H62" s="45">
        <f t="shared" si="16"/>
        <v>0.10934037075912466</v>
      </c>
    </row>
    <row r="63" spans="1:8" s="4" customFormat="1" ht="24.75" customHeight="1">
      <c r="A63" s="42">
        <v>3</v>
      </c>
      <c r="B63" s="43" t="s">
        <v>9</v>
      </c>
      <c r="C63" s="62">
        <v>745.37695994399667</v>
      </c>
      <c r="D63" s="62">
        <v>708.59087089157788</v>
      </c>
      <c r="E63" s="62">
        <f t="shared" si="17"/>
        <v>745.37695994399667</v>
      </c>
      <c r="F63" s="62">
        <f t="shared" si="18"/>
        <v>708.59087089157788</v>
      </c>
      <c r="G63" s="45">
        <f t="shared" si="15"/>
        <v>2.0472326328738469E-2</v>
      </c>
      <c r="H63" s="45">
        <f t="shared" si="16"/>
        <v>5.1914427017854509E-2</v>
      </c>
    </row>
    <row r="64" spans="1:8" s="4" customFormat="1" ht="24.75" customHeight="1">
      <c r="A64" s="42">
        <v>4</v>
      </c>
      <c r="B64" s="43" t="s">
        <v>87</v>
      </c>
      <c r="C64" s="62">
        <v>515.2367325340241</v>
      </c>
      <c r="D64" s="62">
        <v>641.0364661569273</v>
      </c>
      <c r="E64" s="62">
        <f t="shared" si="17"/>
        <v>515.2367325340241</v>
      </c>
      <c r="F64" s="62">
        <f t="shared" si="18"/>
        <v>641.0364661569273</v>
      </c>
      <c r="G64" s="45">
        <f t="shared" si="15"/>
        <v>1.4151355745932912E-2</v>
      </c>
      <c r="H64" s="45">
        <f t="shared" si="16"/>
        <v>-0.19624427043454204</v>
      </c>
    </row>
    <row r="65" spans="1:10" s="4" customFormat="1" ht="24.75" customHeight="1">
      <c r="A65" s="42">
        <v>5</v>
      </c>
      <c r="B65" s="43" t="s">
        <v>8</v>
      </c>
      <c r="C65" s="62">
        <v>967.55</v>
      </c>
      <c r="D65" s="62">
        <v>1000.66</v>
      </c>
      <c r="E65" s="62">
        <f t="shared" si="17"/>
        <v>967.55</v>
      </c>
      <c r="F65" s="62">
        <f t="shared" si="18"/>
        <v>1000.66</v>
      </c>
      <c r="G65" s="45">
        <f t="shared" si="15"/>
        <v>2.6574472252079224E-2</v>
      </c>
      <c r="H65" s="45">
        <f t="shared" si="16"/>
        <v>-3.3088161813203301E-2</v>
      </c>
    </row>
    <row r="66" spans="1:10" s="4" customFormat="1" ht="24.75" customHeight="1">
      <c r="A66" s="42">
        <v>6</v>
      </c>
      <c r="B66" s="43" t="s">
        <v>93</v>
      </c>
      <c r="C66" s="62">
        <v>1743.2724186459309</v>
      </c>
      <c r="D66" s="62">
        <v>1619.9245332898513</v>
      </c>
      <c r="E66" s="62">
        <f t="shared" si="17"/>
        <v>1743.2724186459309</v>
      </c>
      <c r="F66" s="62">
        <f t="shared" si="18"/>
        <v>1619.9245332898513</v>
      </c>
      <c r="G66" s="45">
        <f t="shared" si="15"/>
        <v>4.7880258919044315E-2</v>
      </c>
      <c r="H66" s="45">
        <f t="shared" si="16"/>
        <v>7.6144217104716874E-2</v>
      </c>
    </row>
    <row r="67" spans="1:10" s="4" customFormat="1" ht="24.75" customHeight="1">
      <c r="A67" s="42">
        <v>7</v>
      </c>
      <c r="B67" s="43" t="s">
        <v>1</v>
      </c>
      <c r="C67" s="62">
        <v>3654.01</v>
      </c>
      <c r="D67" s="62">
        <v>3592.23</v>
      </c>
      <c r="E67" s="62">
        <f t="shared" si="17"/>
        <v>3654.01</v>
      </c>
      <c r="F67" s="62">
        <f t="shared" si="18"/>
        <v>3592.23</v>
      </c>
      <c r="G67" s="45">
        <f t="shared" si="15"/>
        <v>0.10036007167983052</v>
      </c>
      <c r="H67" s="45">
        <f t="shared" si="16"/>
        <v>1.7198230625544635E-2</v>
      </c>
    </row>
    <row r="68" spans="1:10" s="4" customFormat="1" ht="24.75" customHeight="1">
      <c r="A68" s="42">
        <v>8</v>
      </c>
      <c r="B68" s="43" t="s">
        <v>10</v>
      </c>
      <c r="C68" s="62">
        <v>876.75303353676281</v>
      </c>
      <c r="D68" s="62">
        <v>783.52719555599924</v>
      </c>
      <c r="E68" s="62">
        <f t="shared" si="17"/>
        <v>876.75303353676281</v>
      </c>
      <c r="F68" s="62">
        <f t="shared" si="18"/>
        <v>783.52719555599924</v>
      </c>
      <c r="G68" s="45">
        <f t="shared" si="15"/>
        <v>2.4080666799285815E-2</v>
      </c>
      <c r="H68" s="45">
        <f t="shared" si="16"/>
        <v>0.11898226189150911</v>
      </c>
    </row>
    <row r="69" spans="1:10" s="4" customFormat="1" ht="24.75" customHeight="1">
      <c r="A69" s="42">
        <v>9</v>
      </c>
      <c r="B69" s="43" t="s">
        <v>94</v>
      </c>
      <c r="C69" s="62">
        <v>5.98</v>
      </c>
      <c r="D69" s="62">
        <v>306.48</v>
      </c>
      <c r="E69" s="62">
        <f t="shared" si="17"/>
        <v>5.98</v>
      </c>
      <c r="F69" s="62">
        <f t="shared" si="18"/>
        <v>306.48</v>
      </c>
      <c r="G69" s="45">
        <f t="shared" si="15"/>
        <v>1.642450974806819E-4</v>
      </c>
      <c r="H69" s="45">
        <f t="shared" si="16"/>
        <v>-0.98048812320542933</v>
      </c>
    </row>
    <row r="70" spans="1:10" s="4" customFormat="1" ht="24.75" customHeight="1">
      <c r="A70" s="42">
        <v>10</v>
      </c>
      <c r="B70" s="43" t="s">
        <v>15</v>
      </c>
      <c r="C70" s="62">
        <v>310.86333623333041</v>
      </c>
      <c r="D70" s="62">
        <v>241.12823266149317</v>
      </c>
      <c r="E70" s="62">
        <f t="shared" si="17"/>
        <v>310.86333623333041</v>
      </c>
      <c r="F70" s="62">
        <f t="shared" si="18"/>
        <v>241.12823266149317</v>
      </c>
      <c r="G70" s="45">
        <f t="shared" si="15"/>
        <v>8.5380901275607605E-3</v>
      </c>
      <c r="H70" s="45">
        <f t="shared" si="16"/>
        <v>0.28920339523134386</v>
      </c>
    </row>
    <row r="71" spans="1:10" s="4" customFormat="1" ht="24.75" customHeight="1">
      <c r="A71" s="42">
        <v>11</v>
      </c>
      <c r="B71" s="43" t="s">
        <v>84</v>
      </c>
      <c r="C71" s="62">
        <v>376.91721669999998</v>
      </c>
      <c r="D71" s="62">
        <v>380.03447620510309</v>
      </c>
      <c r="E71" s="62">
        <f t="shared" si="17"/>
        <v>376.91721669999998</v>
      </c>
      <c r="F71" s="62">
        <f t="shared" si="18"/>
        <v>380.03447620510309</v>
      </c>
      <c r="G71" s="45">
        <f t="shared" si="15"/>
        <v>1.0352308528267358E-2</v>
      </c>
      <c r="H71" s="45">
        <f t="shared" si="16"/>
        <v>-8.2025702937033908E-3</v>
      </c>
    </row>
    <row r="72" spans="1:10" s="4" customFormat="1" ht="24.75" customHeight="1">
      <c r="A72" s="42">
        <v>12</v>
      </c>
      <c r="B72" s="43" t="s">
        <v>5</v>
      </c>
      <c r="C72" s="4">
        <v>1605.18</v>
      </c>
      <c r="D72" s="4">
        <v>1528.74</v>
      </c>
      <c r="E72" s="62">
        <f t="shared" si="17"/>
        <v>1605.18</v>
      </c>
      <c r="F72" s="62">
        <f t="shared" si="18"/>
        <v>1528.74</v>
      </c>
      <c r="G72" s="45">
        <f t="shared" si="15"/>
        <v>4.4087449092648993E-2</v>
      </c>
      <c r="H72" s="45">
        <f t="shared" si="16"/>
        <v>5.0001962400408217E-2</v>
      </c>
      <c r="J72" s="59"/>
    </row>
    <row r="73" spans="1:10" s="4" customFormat="1" ht="24.75" customHeight="1">
      <c r="A73" s="42">
        <v>13</v>
      </c>
      <c r="B73" s="43" t="s">
        <v>95</v>
      </c>
      <c r="C73" s="62">
        <v>15.464496679046601</v>
      </c>
      <c r="D73" s="62">
        <v>22.684863357099999</v>
      </c>
      <c r="E73" s="62">
        <f t="shared" si="17"/>
        <v>15.464496679046601</v>
      </c>
      <c r="F73" s="62">
        <f t="shared" si="18"/>
        <v>22.684863357099999</v>
      </c>
      <c r="G73" s="45">
        <f t="shared" si="15"/>
        <v>4.2474377333439641E-4</v>
      </c>
      <c r="H73" s="45">
        <f t="shared" si="16"/>
        <v>-0.31829006701041201</v>
      </c>
    </row>
    <row r="74" spans="1:10" s="4" customFormat="1" ht="24.75" customHeight="1">
      <c r="A74" s="42">
        <v>14</v>
      </c>
      <c r="B74" s="43" t="s">
        <v>21</v>
      </c>
      <c r="C74" s="62">
        <v>12.969062490119223</v>
      </c>
      <c r="D74" s="62">
        <v>16.352915719619034</v>
      </c>
      <c r="E74" s="62">
        <f t="shared" si="17"/>
        <v>12.969062490119223</v>
      </c>
      <c r="F74" s="62">
        <f t="shared" si="18"/>
        <v>16.352915719619034</v>
      </c>
      <c r="G74" s="45">
        <f t="shared" si="15"/>
        <v>3.5620483828138576E-4</v>
      </c>
      <c r="H74" s="45">
        <f t="shared" si="16"/>
        <v>-0.20692659874961083</v>
      </c>
    </row>
    <row r="75" spans="1:10" s="4" customFormat="1" ht="24.75" customHeight="1">
      <c r="A75" s="42">
        <v>15</v>
      </c>
      <c r="B75" s="43" t="s">
        <v>90</v>
      </c>
      <c r="C75" s="62">
        <v>1563.9180529224705</v>
      </c>
      <c r="D75" s="62">
        <v>1479.2377818491493</v>
      </c>
      <c r="E75" s="62">
        <f t="shared" si="17"/>
        <v>1563.9180529224705</v>
      </c>
      <c r="F75" s="62">
        <f t="shared" si="18"/>
        <v>1479.2377818491493</v>
      </c>
      <c r="G75" s="45">
        <f t="shared" si="15"/>
        <v>4.2954159373586855E-2</v>
      </c>
      <c r="H75" s="45">
        <f t="shared" si="16"/>
        <v>5.7245881705012262E-2</v>
      </c>
    </row>
    <row r="76" spans="1:10" s="4" customFormat="1" ht="24.75" customHeight="1">
      <c r="A76" s="42">
        <v>16</v>
      </c>
      <c r="B76" s="43" t="s">
        <v>13</v>
      </c>
      <c r="C76" s="62">
        <v>576.46921434961644</v>
      </c>
      <c r="D76" s="62">
        <v>520.27635659420184</v>
      </c>
      <c r="E76" s="62">
        <f t="shared" si="17"/>
        <v>576.46921434961644</v>
      </c>
      <c r="F76" s="62">
        <f t="shared" si="18"/>
        <v>520.27635659420184</v>
      </c>
      <c r="G76" s="45">
        <f t="shared" si="15"/>
        <v>1.583315088720148E-2</v>
      </c>
      <c r="H76" s="45">
        <f t="shared" si="16"/>
        <v>0.10800578777644347</v>
      </c>
    </row>
    <row r="77" spans="1:10" s="4" customFormat="1" ht="24.75" customHeight="1">
      <c r="A77" s="42">
        <v>17</v>
      </c>
      <c r="B77" s="43" t="s">
        <v>7</v>
      </c>
      <c r="C77" s="62">
        <v>1299.5268843521039</v>
      </c>
      <c r="D77" s="62">
        <v>1290.5764446000001</v>
      </c>
      <c r="E77" s="62">
        <f t="shared" si="17"/>
        <v>1299.5268843521039</v>
      </c>
      <c r="F77" s="62">
        <f t="shared" si="18"/>
        <v>1290.5764446000001</v>
      </c>
      <c r="G77" s="45">
        <f t="shared" si="15"/>
        <v>3.5692461504879286E-2</v>
      </c>
      <c r="H77" s="45">
        <f t="shared" si="16"/>
        <v>6.9352263397911042E-3</v>
      </c>
    </row>
    <row r="78" spans="1:10" s="4" customFormat="1" ht="24.75" customHeight="1">
      <c r="A78" s="42">
        <v>18</v>
      </c>
      <c r="B78" s="43" t="s">
        <v>14</v>
      </c>
      <c r="C78" s="62">
        <v>361.54864331300001</v>
      </c>
      <c r="D78" s="62">
        <v>290.37416779799992</v>
      </c>
      <c r="E78" s="62">
        <f t="shared" si="17"/>
        <v>361.54864331300001</v>
      </c>
      <c r="F78" s="62">
        <f t="shared" si="18"/>
        <v>290.37416779799992</v>
      </c>
      <c r="G78" s="45">
        <f t="shared" si="15"/>
        <v>9.9301993586876219E-3</v>
      </c>
      <c r="H78" s="45">
        <f t="shared" si="16"/>
        <v>0.24511297287475289</v>
      </c>
    </row>
    <row r="79" spans="1:10" s="4" customFormat="1" ht="24.75" customHeight="1">
      <c r="A79" s="60">
        <v>19</v>
      </c>
      <c r="B79" s="61" t="s">
        <v>4</v>
      </c>
      <c r="C79" s="62">
        <v>2845.4163643349998</v>
      </c>
      <c r="D79" s="62">
        <v>2060.3756866589979</v>
      </c>
      <c r="E79" s="62">
        <f t="shared" si="17"/>
        <v>2845.4163643349998</v>
      </c>
      <c r="F79" s="62">
        <f t="shared" si="18"/>
        <v>2060.3756866589979</v>
      </c>
      <c r="G79" s="45">
        <f t="shared" si="15"/>
        <v>7.8151452865105275E-2</v>
      </c>
      <c r="H79" s="45">
        <f t="shared" si="16"/>
        <v>0.38101822049210093</v>
      </c>
    </row>
    <row r="80" spans="1:10" s="4" customFormat="1" ht="24.75" customHeight="1">
      <c r="A80" s="60">
        <v>20</v>
      </c>
      <c r="B80" s="61" t="s">
        <v>0</v>
      </c>
      <c r="C80" s="62">
        <v>6084.9610591000001</v>
      </c>
      <c r="D80" s="62">
        <v>6026.63</v>
      </c>
      <c r="E80" s="62">
        <f t="shared" si="17"/>
        <v>6084.9610591000001</v>
      </c>
      <c r="F80" s="62">
        <f t="shared" si="18"/>
        <v>6026.63</v>
      </c>
      <c r="G80" s="45">
        <f t="shared" si="15"/>
        <v>0.16712793015351721</v>
      </c>
      <c r="H80" s="45">
        <f t="shared" si="16"/>
        <v>9.678885065119304E-3</v>
      </c>
    </row>
    <row r="81" spans="1:10" s="4" customFormat="1" ht="24.75" customHeight="1">
      <c r="A81" s="60">
        <v>21</v>
      </c>
      <c r="B81" s="61" t="s">
        <v>3</v>
      </c>
      <c r="C81" s="62">
        <v>2661.5929853900002</v>
      </c>
      <c r="D81" s="62">
        <v>2629.8808917599999</v>
      </c>
      <c r="E81" s="62">
        <f t="shared" si="17"/>
        <v>2661.5929853900002</v>
      </c>
      <c r="F81" s="62">
        <f t="shared" si="18"/>
        <v>2629.8808917599999</v>
      </c>
      <c r="G81" s="45">
        <f t="shared" si="15"/>
        <v>7.3102608585163834E-2</v>
      </c>
      <c r="H81" s="45">
        <f t="shared" si="16"/>
        <v>1.2058376380984125E-2</v>
      </c>
      <c r="J81" s="59"/>
    </row>
    <row r="82" spans="1:10" s="4" customFormat="1" ht="24.75" customHeight="1">
      <c r="A82" s="60">
        <v>22</v>
      </c>
      <c r="B82" s="61" t="s">
        <v>2</v>
      </c>
      <c r="C82" s="62">
        <v>2117.2399999999998</v>
      </c>
      <c r="D82" s="62">
        <v>2093.11</v>
      </c>
      <c r="E82" s="62">
        <f t="shared" si="17"/>
        <v>2117.2399999999998</v>
      </c>
      <c r="F82" s="62">
        <f t="shared" si="18"/>
        <v>2093.11</v>
      </c>
      <c r="G82" s="45">
        <f t="shared" si="15"/>
        <v>5.8151553543478077E-2</v>
      </c>
      <c r="H82" s="45">
        <f t="shared" si="16"/>
        <v>1.152829999378898E-2</v>
      </c>
    </row>
    <row r="83" spans="1:10" s="4" customFormat="1" ht="24.75" customHeight="1">
      <c r="A83" s="60">
        <v>23</v>
      </c>
      <c r="B83" s="61" t="s">
        <v>11</v>
      </c>
      <c r="C83" s="62">
        <v>695.5616956450275</v>
      </c>
      <c r="D83" s="62">
        <v>472.84402027479695</v>
      </c>
      <c r="E83" s="62">
        <f t="shared" si="17"/>
        <v>695.5616956450275</v>
      </c>
      <c r="F83" s="62">
        <f t="shared" si="18"/>
        <v>472.84402027479695</v>
      </c>
      <c r="G83" s="45">
        <f t="shared" si="15"/>
        <v>1.9104113462382263E-2</v>
      </c>
      <c r="H83" s="45">
        <f t="shared" si="16"/>
        <v>0.47101721882999908</v>
      </c>
    </row>
    <row r="84" spans="1:10" s="4" customFormat="1" ht="24.75" customHeight="1">
      <c r="A84" s="42">
        <v>24</v>
      </c>
      <c r="B84" s="43" t="s">
        <v>19</v>
      </c>
      <c r="C84" s="62">
        <v>141.77000000000001</v>
      </c>
      <c r="D84" s="62">
        <v>86.08</v>
      </c>
      <c r="E84" s="62">
        <f t="shared" si="17"/>
        <v>141.77000000000001</v>
      </c>
      <c r="F84" s="62">
        <f t="shared" si="18"/>
        <v>86.08</v>
      </c>
      <c r="G84" s="45">
        <f t="shared" si="15"/>
        <v>3.8938173026482063E-3</v>
      </c>
      <c r="H84" s="45">
        <f t="shared" si="16"/>
        <v>0.64695631970260237</v>
      </c>
    </row>
    <row r="85" spans="1:10" s="4" customFormat="1" ht="24.75" customHeight="1">
      <c r="A85" s="42">
        <v>25</v>
      </c>
      <c r="B85" s="43" t="s">
        <v>77</v>
      </c>
      <c r="C85" s="62">
        <v>210.887140088</v>
      </c>
      <c r="D85" s="62">
        <v>233.66128843357319</v>
      </c>
      <c r="E85" s="62">
        <f t="shared" si="17"/>
        <v>210.887140088</v>
      </c>
      <c r="F85" s="62">
        <f t="shared" si="18"/>
        <v>233.66128843357319</v>
      </c>
      <c r="G85" s="45">
        <f t="shared" si="15"/>
        <v>5.7921703814675218E-3</v>
      </c>
      <c r="H85" s="45">
        <f t="shared" si="16"/>
        <v>-9.7466501611145506E-2</v>
      </c>
    </row>
    <row r="86" spans="1:10" s="4" customFormat="1" ht="24.75" customHeight="1">
      <c r="A86" s="42"/>
      <c r="B86" s="46" t="s">
        <v>69</v>
      </c>
      <c r="C86" s="47">
        <f>SUM(C61:C85)</f>
        <v>32340.531034558429</v>
      </c>
      <c r="D86" s="47">
        <f>SUM(D61:D85)</f>
        <v>30605.104318506394</v>
      </c>
      <c r="E86" s="47">
        <f>SUM(E61:E85)</f>
        <v>32340.531034558429</v>
      </c>
      <c r="F86" s="47">
        <f>SUM(F61:F85)</f>
        <v>30605.104318506394</v>
      </c>
      <c r="G86" s="48">
        <f t="shared" si="15"/>
        <v>0.88825646694783733</v>
      </c>
      <c r="H86" s="48">
        <f t="shared" si="16"/>
        <v>5.6703832732981484E-2</v>
      </c>
    </row>
    <row r="87" spans="1:10" s="4" customFormat="1" ht="24.75" customHeight="1">
      <c r="A87" s="42">
        <v>26</v>
      </c>
      <c r="B87" s="43" t="s">
        <v>12</v>
      </c>
      <c r="C87" s="62">
        <v>731.97999279999999</v>
      </c>
      <c r="D87" s="62">
        <v>438.37758897787791</v>
      </c>
      <c r="E87" s="62">
        <f t="shared" ref="E87:E90" si="19">C87</f>
        <v>731.97999279999999</v>
      </c>
      <c r="F87" s="62">
        <f t="shared" ref="F87:F90" si="20">D87</f>
        <v>438.37758897787791</v>
      </c>
      <c r="G87" s="45">
        <f t="shared" si="15"/>
        <v>2.010436877447238E-2</v>
      </c>
      <c r="H87" s="45">
        <f t="shared" si="16"/>
        <v>0.66974774989452823</v>
      </c>
    </row>
    <row r="88" spans="1:10" s="5" customFormat="1" ht="24.75" customHeight="1">
      <c r="A88" s="42">
        <v>27</v>
      </c>
      <c r="B88" s="43" t="s">
        <v>96</v>
      </c>
      <c r="C88" s="62">
        <v>1008.7662129</v>
      </c>
      <c r="D88" s="62">
        <v>724.48154479968809</v>
      </c>
      <c r="E88" s="62">
        <f t="shared" si="19"/>
        <v>1008.7662129</v>
      </c>
      <c r="F88" s="62">
        <f t="shared" si="20"/>
        <v>724.48154479968809</v>
      </c>
      <c r="G88" s="45">
        <f t="shared" si="15"/>
        <v>2.7706505848324216E-2</v>
      </c>
      <c r="H88" s="45">
        <f t="shared" si="16"/>
        <v>0.39239739112873301</v>
      </c>
    </row>
    <row r="89" spans="1:10" s="4" customFormat="1" ht="24.75" customHeight="1">
      <c r="A89" s="42">
        <v>28</v>
      </c>
      <c r="B89" s="43" t="s">
        <v>17</v>
      </c>
      <c r="C89" s="62">
        <v>279.97981722248869</v>
      </c>
      <c r="D89" s="62">
        <v>183.78540067024488</v>
      </c>
      <c r="E89" s="62">
        <f t="shared" si="19"/>
        <v>279.97981722248869</v>
      </c>
      <c r="F89" s="62">
        <f t="shared" si="20"/>
        <v>183.78540067024488</v>
      </c>
      <c r="G89" s="45">
        <f t="shared" si="15"/>
        <v>7.6898515672794571E-3</v>
      </c>
      <c r="H89" s="45">
        <f t="shared" si="16"/>
        <v>0.52340619114158948</v>
      </c>
    </row>
    <row r="90" spans="1:10" s="4" customFormat="1" ht="24.75" customHeight="1">
      <c r="A90" s="42">
        <v>29</v>
      </c>
      <c r="B90" s="43" t="s">
        <v>70</v>
      </c>
      <c r="C90" s="62">
        <v>629.25987145430361</v>
      </c>
      <c r="D90" s="62">
        <v>483.06852634600011</v>
      </c>
      <c r="E90" s="62">
        <f t="shared" si="19"/>
        <v>629.25987145430361</v>
      </c>
      <c r="F90" s="62">
        <f t="shared" si="20"/>
        <v>483.06852634600011</v>
      </c>
      <c r="G90" s="45">
        <f t="shared" si="15"/>
        <v>1.728308510496546E-2</v>
      </c>
      <c r="H90" s="45">
        <f t="shared" si="16"/>
        <v>0.30263065618063728</v>
      </c>
    </row>
    <row r="91" spans="1:10" s="4" customFormat="1" ht="24.75" customHeight="1">
      <c r="A91" s="42"/>
      <c r="B91" s="43" t="s">
        <v>71</v>
      </c>
      <c r="C91" s="62">
        <v>0</v>
      </c>
      <c r="D91" s="62">
        <v>0</v>
      </c>
      <c r="E91" s="62">
        <v>0</v>
      </c>
      <c r="F91" s="62">
        <v>0</v>
      </c>
      <c r="G91" s="62">
        <v>0</v>
      </c>
      <c r="H91" s="62">
        <v>0</v>
      </c>
    </row>
    <row r="92" spans="1:10" s="4" customFormat="1" ht="24.75" customHeight="1">
      <c r="A92" s="42">
        <v>30</v>
      </c>
      <c r="B92" s="43" t="s">
        <v>6</v>
      </c>
      <c r="C92" s="62">
        <v>1264.54</v>
      </c>
      <c r="D92" s="62">
        <v>1060.1300000000001</v>
      </c>
      <c r="E92" s="62">
        <f t="shared" ref="E92:E94" si="21">C92</f>
        <v>1264.54</v>
      </c>
      <c r="F92" s="62">
        <f t="shared" ref="F92:F94" si="22">D92</f>
        <v>1060.1300000000001</v>
      </c>
      <c r="G92" s="45">
        <f t="shared" si="15"/>
        <v>3.4731520998030348E-2</v>
      </c>
      <c r="H92" s="45">
        <f t="shared" si="16"/>
        <v>0.19281597539924333</v>
      </c>
    </row>
    <row r="93" spans="1:10" s="4" customFormat="1" ht="24.75" customHeight="1">
      <c r="A93" s="42">
        <v>31</v>
      </c>
      <c r="B93" s="43" t="s">
        <v>80</v>
      </c>
      <c r="C93" s="62">
        <v>17.902915586337599</v>
      </c>
      <c r="D93" s="62">
        <v>0.40260000000000001</v>
      </c>
      <c r="E93" s="62">
        <f t="shared" si="21"/>
        <v>17.902915586337599</v>
      </c>
      <c r="F93" s="62">
        <f t="shared" si="22"/>
        <v>0.40260000000000001</v>
      </c>
      <c r="G93" s="45">
        <f t="shared" si="15"/>
        <v>4.9171674175024055E-4</v>
      </c>
      <c r="H93" s="45">
        <f t="shared" si="16"/>
        <v>43.468245370932934</v>
      </c>
    </row>
    <row r="94" spans="1:10" s="4" customFormat="1" ht="24.75" customHeight="1">
      <c r="A94" s="42">
        <v>32</v>
      </c>
      <c r="B94" s="43" t="s">
        <v>82</v>
      </c>
      <c r="C94" s="62">
        <v>13.089704818751413</v>
      </c>
      <c r="D94" s="62">
        <v>3.3939890503333316</v>
      </c>
      <c r="E94" s="62">
        <f t="shared" si="21"/>
        <v>13.089704818751413</v>
      </c>
      <c r="F94" s="62">
        <f t="shared" si="22"/>
        <v>3.3939890503333316</v>
      </c>
      <c r="G94" s="45">
        <f t="shared" si="15"/>
        <v>3.5951836855337415E-4</v>
      </c>
      <c r="H94" s="45">
        <f t="shared" si="16"/>
        <v>2.856731599492297</v>
      </c>
    </row>
    <row r="95" spans="1:10" s="4" customFormat="1" ht="24.75" customHeight="1">
      <c r="A95" s="42"/>
      <c r="B95" s="46" t="s">
        <v>72</v>
      </c>
      <c r="C95" s="49">
        <f>SUM(C87:C94)</f>
        <v>3945.5185147818811</v>
      </c>
      <c r="D95" s="49">
        <f>SUM(D87:D94)</f>
        <v>2893.6396498441445</v>
      </c>
      <c r="E95" s="49">
        <f>SUM(E87:E94)</f>
        <v>3945.5185147818811</v>
      </c>
      <c r="F95" s="49">
        <f>SUM(F87:F94)</f>
        <v>2893.6396498441445</v>
      </c>
      <c r="G95" s="48">
        <f t="shared" si="15"/>
        <v>0.10836656740337547</v>
      </c>
      <c r="H95" s="48">
        <f t="shared" si="16"/>
        <v>0.36351411793600225</v>
      </c>
    </row>
    <row r="96" spans="1:10" s="4" customFormat="1" ht="24.75" customHeight="1">
      <c r="A96" s="50">
        <v>33</v>
      </c>
      <c r="B96" s="43" t="s">
        <v>20</v>
      </c>
      <c r="C96" s="62">
        <v>16.481947361</v>
      </c>
      <c r="D96" s="62">
        <v>5.7780537220666623</v>
      </c>
      <c r="E96" s="62">
        <f t="shared" ref="E96:E97" si="23">C96</f>
        <v>16.481947361</v>
      </c>
      <c r="F96" s="62">
        <f t="shared" ref="F96:F97" si="24">D96</f>
        <v>5.7780537220666623</v>
      </c>
      <c r="G96" s="45">
        <f t="shared" si="15"/>
        <v>4.5268880451152383E-4</v>
      </c>
      <c r="H96" s="45">
        <f t="shared" si="16"/>
        <v>1.852508500925607</v>
      </c>
    </row>
    <row r="97" spans="1:8" s="4" customFormat="1" ht="24.75" customHeight="1">
      <c r="A97" s="50">
        <v>34</v>
      </c>
      <c r="B97" s="43" t="s">
        <v>18</v>
      </c>
      <c r="C97" s="62">
        <v>106.47</v>
      </c>
      <c r="D97" s="62">
        <v>87.66</v>
      </c>
      <c r="E97" s="62">
        <f t="shared" si="23"/>
        <v>106.47</v>
      </c>
      <c r="F97" s="62">
        <f t="shared" si="24"/>
        <v>87.66</v>
      </c>
      <c r="G97" s="45">
        <f t="shared" si="15"/>
        <v>2.924276844275619E-3</v>
      </c>
      <c r="H97" s="45">
        <f t="shared" si="16"/>
        <v>0.21457905544147848</v>
      </c>
    </row>
    <row r="98" spans="1:8" s="4" customFormat="1" ht="26.25">
      <c r="A98" s="42"/>
      <c r="B98" s="46" t="s">
        <v>73</v>
      </c>
      <c r="C98" s="51">
        <f>SUM(C96:C97)</f>
        <v>122.95194736099999</v>
      </c>
      <c r="D98" s="51">
        <f t="shared" ref="D98:F98" si="25">SUM(D96:D97)</f>
        <v>93.438053722066655</v>
      </c>
      <c r="E98" s="51">
        <f t="shared" si="25"/>
        <v>122.95194736099999</v>
      </c>
      <c r="F98" s="51">
        <f t="shared" si="25"/>
        <v>93.438053722066655</v>
      </c>
      <c r="G98" s="45">
        <f t="shared" si="15"/>
        <v>3.3769656487871425E-3</v>
      </c>
      <c r="H98" s="45">
        <f t="shared" si="16"/>
        <v>0.31586588614873123</v>
      </c>
    </row>
    <row r="99" spans="1:8" s="4" customFormat="1" ht="26.25">
      <c r="A99" s="42"/>
      <c r="B99" s="52" t="s">
        <v>74</v>
      </c>
      <c r="C99" s="63">
        <f>(C86+C95+C98)</f>
        <v>36409.001496701312</v>
      </c>
      <c r="D99" s="63">
        <f>(D86+D95+D98)</f>
        <v>33592.1820220726</v>
      </c>
      <c r="E99" s="63">
        <f>(E86+E95+E98)</f>
        <v>36409.001496701312</v>
      </c>
      <c r="F99" s="63">
        <f>(F86+F95+F98)</f>
        <v>33592.1820220726</v>
      </c>
      <c r="G99" s="48">
        <f t="shared" si="15"/>
        <v>1</v>
      </c>
      <c r="H99" s="48">
        <f t="shared" si="16"/>
        <v>8.3853423775146513E-2</v>
      </c>
    </row>
    <row r="100" spans="1:8" s="6" customFormat="1" ht="15">
      <c r="A100" s="67" t="s">
        <v>75</v>
      </c>
      <c r="B100" s="67"/>
      <c r="C100" s="67"/>
      <c r="D100" s="67"/>
      <c r="E100" s="67"/>
      <c r="F100" s="67"/>
      <c r="G100" s="67"/>
      <c r="H100" s="67"/>
    </row>
    <row r="101" spans="1:8" s="6" customFormat="1" ht="15" customHeight="1">
      <c r="A101" s="67" t="s">
        <v>76</v>
      </c>
      <c r="B101" s="67"/>
      <c r="C101" s="67"/>
      <c r="D101" s="37"/>
      <c r="E101" s="37"/>
      <c r="F101" s="37"/>
      <c r="G101" s="37"/>
      <c r="H101" s="37"/>
    </row>
    <row r="102" spans="1:8" ht="15.75">
      <c r="A102" s="65"/>
      <c r="B102" s="65"/>
      <c r="C102" s="65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2026-04-08T10:12:03Z</cp:lastPrinted>
  <dcterms:created xsi:type="dcterms:W3CDTF">2024-07-04T10:52:00Z</dcterms:created>
  <dcterms:modified xsi:type="dcterms:W3CDTF">2026-05-11T05:08:31Z</dcterms:modified>
</cp:coreProperties>
</file>