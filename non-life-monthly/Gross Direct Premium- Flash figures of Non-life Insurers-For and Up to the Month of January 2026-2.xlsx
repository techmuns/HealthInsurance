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10.JANUARY\"/>
    </mc:Choice>
  </mc:AlternateContent>
  <bookViews>
    <workbookView xWindow="0" yWindow="0" windowWidth="28800" windowHeight="12210" tabRatio="554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" l="1"/>
  <c r="D46" i="2"/>
  <c r="E46" i="2"/>
  <c r="C46" i="2"/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2" i="2"/>
  <c r="H93" i="2"/>
  <c r="H96" i="2"/>
  <c r="H97" i="2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3" i="2"/>
  <c r="H44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D99" i="2" l="1"/>
  <c r="F99" i="2"/>
  <c r="E99" i="2"/>
  <c r="G61" i="2" s="1"/>
  <c r="C99" i="2"/>
  <c r="H98" i="2"/>
  <c r="H95" i="2"/>
  <c r="H86" i="2"/>
  <c r="G69" i="2" l="1"/>
  <c r="G99" i="2"/>
  <c r="G87" i="2"/>
  <c r="G94" i="2"/>
  <c r="G93" i="2"/>
  <c r="G82" i="2"/>
  <c r="G62" i="2"/>
  <c r="G70" i="2"/>
  <c r="G73" i="2"/>
  <c r="G72" i="2"/>
  <c r="G68" i="2"/>
  <c r="G77" i="2"/>
  <c r="G67" i="2"/>
  <c r="G76" i="2"/>
  <c r="G66" i="2"/>
  <c r="G85" i="2"/>
  <c r="G86" i="2"/>
  <c r="G75" i="2"/>
  <c r="G65" i="2"/>
  <c r="G98" i="2"/>
  <c r="G84" i="2"/>
  <c r="G89" i="2"/>
  <c r="G74" i="2"/>
  <c r="G88" i="2"/>
  <c r="G64" i="2"/>
  <c r="G92" i="2"/>
  <c r="G83" i="2"/>
  <c r="G63" i="2"/>
  <c r="G81" i="2"/>
  <c r="G79" i="2"/>
  <c r="G71" i="2"/>
  <c r="G97" i="2"/>
  <c r="G95" i="2"/>
  <c r="G80" i="2"/>
  <c r="G96" i="2"/>
  <c r="G90" i="2"/>
  <c r="G78" i="2"/>
  <c r="G49" i="2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<sst xmlns="http://schemas.openxmlformats.org/spreadsheetml/2006/main" count="122" uniqueCount="106">
  <si>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</si>
  <si>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</si>
  <si>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</si>
  <si>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</si>
  <si>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</si>
  <si>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</si>
  <si>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</si>
  <si>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</si>
  <si>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</si>
  <si>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</si>
  <si>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</si>
  <si>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</si>
  <si>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</si>
  <si>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</si>
  <si>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</si>
  <si>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</si>
  <si>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</si>
  <si>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</si>
  <si>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</si>
  <si>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</si>
  <si>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</si>
  <si>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</si>
  <si>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</si>
  <si>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</si>
  <si>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</si>
  <si>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</si>
  <si>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</si>
  <si>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</si>
  <si>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</si>
  <si>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</si>
  <si>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</si>
  <si>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</si>
  <si>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</si>
  <si>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</si>
  <si>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</si>
  <si>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</si>
  <si>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</si>
  <si>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</si>
  <si>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</si>
  <si>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</si>
  <si>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</si>
  <si>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</si>
  <si>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</si>
  <si>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</si>
  <si>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</si>
  <si>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</si>
  <si>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</si>
  <si>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</si>
  <si>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</si>
  <si>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</si>
  <si>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</si>
  <si>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</si>
  <si>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</si>
  <si>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</si>
  <si>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</si>
  <si>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</si>
  <si>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</si>
  <si>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</si>
  <si>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</si>
  <si>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</si>
  <si>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</si>
  <si>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</si>
  <si>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</si>
  <si>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</si>
  <si>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</si>
  <si>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</si>
  <si>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</si>
  <si>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</si>
  <si>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</si>
  <si>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</si>
  <si>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</si>
  <si>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</si>
  <si>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</si>
  <si>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</si>
  <si>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</si>
  <si>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</si>
  <si>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</si>
  <si>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</si>
  <si>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</si>
  <si>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</si>
  <si>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</si>
  <si>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</si>
  <si>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</si>
  <si>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</si>
  <si>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</si>
  <si>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</si>
  <si>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</si>
  <si>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</si>
  <si>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</si>
  <si>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</si>
  <si>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</si>
  <si>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</si>
  <si>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</si>
  <si>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</si>
  <si>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</si>
  <si>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</si>
  <si>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</si>
  <si>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Bajaj General Insurance Limited</t>
  </si>
  <si>
    <t>जनवरी  माह के लिए</t>
  </si>
  <si>
    <t>जनवरी माह तक</t>
  </si>
  <si>
    <t>जनवरी , 2026 माह तक बाजार शेयर  (%)</t>
  </si>
  <si>
    <t>जनवरी , 2026 माह और तक के लिए सकल प्रत्यक्ष प्रीमियम अधिग्रहण</t>
  </si>
  <si>
    <t>GROSS DIRECT PREMIUM UNDERWRITTEN FOR AND UPTO THE MONTH  OF JANUARY, 2026</t>
  </si>
  <si>
    <t>For the Month of JANUARY</t>
  </si>
  <si>
    <t>Upto the Month of JANUARY</t>
  </si>
  <si>
    <t>Market Share upto the Month of JANUARY, 2026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</si>
</sst>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6" fillId="0" borderId="0" xfId="3" applyNumberFormat="1" applyFont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1" fontId="14" fillId="2" borderId="3" xfId="3" applyNumberFormat="1" applyFont="1" applyFill="1" applyBorder="1" applyAlignment="1">
      <alignment horizontal="center" vertical="center"/>
    </xf>
    <xf numFmtId="2" fontId="20" fillId="2" borderId="3" xfId="3" applyNumberFormat="1" applyFont="1" applyFill="1" applyBorder="1" applyAlignment="1">
      <alignment horizontal="left" vertical="center" wrapText="1"/>
    </xf>
    <xf numFmtId="10" fontId="23" fillId="2" borderId="3" xfId="0" applyNumberFormat="1" applyFont="1" applyFill="1" applyBorder="1" applyAlignment="1">
      <alignment vertical="center"/>
    </xf>
    <xf numFmtId="43" fontId="28" fillId="2" borderId="3" xfId="0" applyNumberFormat="1" applyFont="1" applyFill="1" applyBorder="1" applyAlignment="1">
      <alignment horizontal="center"/>
    </xf>
    <xf numFmtId="164" fontId="7" fillId="0" borderId="3" xfId="1" applyNumberFormat="1" applyFont="1" applyFill="1" applyBorder="1" applyAlignment="1">
      <alignment horizontal="right" vertical="center" indent="1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27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zoomScale="98" zoomScaleNormal="98" zoomScaleSheetLayoutView="98" workbookViewId="0">
      <selection activeCell="H49" sqref="H49"/>
    </sheetView>
  </sheetViews>
  <sheetFormatPr defaultRowHeight="12.75"/>
  <cols>
    <col min="1" max="1" width="12.85546875" style="7" customWidth="1"/>
    <col min="2" max="2" width="93.42578125" style="13" customWidth="1"/>
    <col min="3" max="4" width="23.140625" style="12" bestFit="1" customWidth="1"/>
    <col min="5" max="6" width="26.5703125" style="12" bestFit="1" customWidth="1"/>
    <col min="7" max="7" width="24.140625" style="1" customWidth="1"/>
    <col min="8" max="8" width="25.570312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70" t="s">
        <v>28</v>
      </c>
      <c r="B2" s="70"/>
      <c r="C2" s="70"/>
      <c r="D2" s="70"/>
      <c r="E2" s="70"/>
      <c r="F2" s="70"/>
      <c r="G2" s="70"/>
      <c r="H2" s="70"/>
    </row>
    <row r="3" spans="1:8" s="2" customFormat="1" ht="36" customHeight="1">
      <c r="A3" s="71" t="s">
        <v>29</v>
      </c>
      <c r="B3" s="71"/>
      <c r="C3" s="71"/>
      <c r="D3" s="71"/>
      <c r="E3" s="71"/>
      <c r="F3" s="71"/>
      <c r="G3" s="71"/>
      <c r="H3" s="71"/>
    </row>
    <row r="4" spans="1:8" s="2" customFormat="1" ht="36" customHeight="1">
      <c r="A4" s="72" t="s">
        <v>101</v>
      </c>
      <c r="B4" s="72"/>
      <c r="C4" s="72"/>
      <c r="D4" s="72"/>
      <c r="E4" s="72"/>
      <c r="F4" s="72"/>
      <c r="G4" s="72"/>
      <c r="H4" s="72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3" t="s">
        <v>30</v>
      </c>
      <c r="D6" s="73"/>
      <c r="E6" s="73"/>
      <c r="F6" s="73"/>
      <c r="G6" s="74" t="s">
        <v>100</v>
      </c>
      <c r="H6" s="74" t="s">
        <v>31</v>
      </c>
    </row>
    <row r="7" spans="1:8" s="4" customFormat="1" ht="11.25" customHeight="1">
      <c r="B7" s="20"/>
      <c r="C7" s="77" t="s">
        <v>32</v>
      </c>
      <c r="D7" s="77"/>
      <c r="E7" s="77"/>
      <c r="F7" s="77"/>
      <c r="G7" s="75"/>
      <c r="H7" s="75"/>
    </row>
    <row r="8" spans="1:8" s="22" customFormat="1" ht="32.25" customHeight="1">
      <c r="A8" s="38"/>
      <c r="B8" s="21"/>
      <c r="C8" s="78" t="s">
        <v>98</v>
      </c>
      <c r="D8" s="78"/>
      <c r="E8" s="78" t="s">
        <v>99</v>
      </c>
      <c r="F8" s="78"/>
      <c r="G8" s="75"/>
      <c r="H8" s="75"/>
    </row>
    <row r="9" spans="1:8" s="23" customFormat="1" ht="9" customHeight="1">
      <c r="A9" s="38"/>
      <c r="B9" s="21"/>
      <c r="C9" s="77" t="s">
        <v>33</v>
      </c>
      <c r="D9" s="77"/>
      <c r="E9" s="77" t="s">
        <v>32</v>
      </c>
      <c r="F9" s="77"/>
      <c r="G9" s="75"/>
      <c r="H9" s="75"/>
    </row>
    <row r="10" spans="1:8" s="24" customFormat="1" ht="47.25" customHeight="1">
      <c r="A10" s="41" t="s">
        <v>34</v>
      </c>
      <c r="B10" s="41" t="s">
        <v>35</v>
      </c>
      <c r="C10" s="62" t="s">
        <v>94</v>
      </c>
      <c r="D10" s="62" t="s">
        <v>0</v>
      </c>
      <c r="E10" s="62" t="s">
        <v>94</v>
      </c>
      <c r="F10" s="62" t="s">
        <v>0</v>
      </c>
      <c r="G10" s="76"/>
      <c r="H10" s="76"/>
    </row>
    <row r="11" spans="1:8" s="3" customFormat="1" ht="13.5" customHeight="1">
      <c r="A11" s="25" t="s">
        <v>32</v>
      </c>
      <c r="B11" s="25" t="s">
        <v>33</v>
      </c>
      <c r="C11" s="26" t="s">
        <v>33</v>
      </c>
      <c r="D11" s="26" t="s">
        <v>32</v>
      </c>
      <c r="E11" s="26" t="s">
        <v>32</v>
      </c>
      <c r="F11" s="26" t="s">
        <v>32</v>
      </c>
      <c r="G11" s="27" t="s">
        <v>32</v>
      </c>
      <c r="H11" s="27" t="s">
        <v>32</v>
      </c>
    </row>
    <row r="12" spans="1:8" s="4" customFormat="1" ht="25.5">
      <c r="A12" s="50">
        <v>1</v>
      </c>
      <c r="B12" s="54" t="s">
        <v>36</v>
      </c>
      <c r="C12" s="66">
        <v>261.69</v>
      </c>
      <c r="D12" s="66">
        <v>184.03</v>
      </c>
      <c r="E12" s="66">
        <v>2150.3056820000002</v>
      </c>
      <c r="F12" s="66">
        <v>1739.9858746972729</v>
      </c>
      <c r="G12" s="55">
        <f t="shared" ref="G12:G36" si="0">E12/$E$50</f>
        <v>7.5932850697501362E-3</v>
      </c>
      <c r="H12" s="55">
        <f>((E12-F12)/F12)</f>
        <v>0.23581789557579924</v>
      </c>
    </row>
    <row r="13" spans="1:8" s="4" customFormat="1" ht="25.5">
      <c r="A13" s="50">
        <v>2</v>
      </c>
      <c r="B13" s="54" t="s">
        <v>37</v>
      </c>
      <c r="C13" s="66">
        <v>1821.05</v>
      </c>
      <c r="D13" s="66">
        <v>1674.81</v>
      </c>
      <c r="E13" s="66">
        <v>20700.197510400001</v>
      </c>
      <c r="F13" s="66">
        <v>18787.264574100005</v>
      </c>
      <c r="G13" s="55">
        <f t="shared" si="0"/>
        <v>7.3097746991210924E-2</v>
      </c>
      <c r="H13" s="55">
        <f t="shared" ref="H13:H46" si="1">((E13-F13)/F13)</f>
        <v>0.10182072694803863</v>
      </c>
    </row>
    <row r="14" spans="1:8" s="4" customFormat="1" ht="25.5">
      <c r="A14" s="50">
        <v>3</v>
      </c>
      <c r="B14" s="54" t="s">
        <v>38</v>
      </c>
      <c r="C14" s="66">
        <v>736</v>
      </c>
      <c r="D14" s="66">
        <v>733.48</v>
      </c>
      <c r="E14" s="66">
        <v>6449.9299525859606</v>
      </c>
      <c r="F14" s="66">
        <v>6828.6399645707716</v>
      </c>
      <c r="G14" s="55">
        <f t="shared" si="0"/>
        <v>2.2776369527309454E-2</v>
      </c>
      <c r="H14" s="55">
        <f t="shared" si="1"/>
        <v>-5.5459068562654201E-2</v>
      </c>
    </row>
    <row r="15" spans="1:8" s="4" customFormat="1" ht="25.5">
      <c r="A15" s="50">
        <v>4</v>
      </c>
      <c r="B15" s="54" t="s">
        <v>96</v>
      </c>
      <c r="C15" s="66">
        <v>706</v>
      </c>
      <c r="D15" s="66">
        <v>795</v>
      </c>
      <c r="E15" s="66">
        <v>4470.2876680266554</v>
      </c>
      <c r="F15" s="66">
        <v>4511.7566445511784</v>
      </c>
      <c r="G15" s="55">
        <f t="shared" si="0"/>
        <v>1.5785741018711105E-2</v>
      </c>
      <c r="H15" s="55">
        <f t="shared" si="1"/>
        <v>-9.1913150002460395E-3</v>
      </c>
    </row>
    <row r="16" spans="1:8" s="4" customFormat="1" ht="25.5">
      <c r="A16" s="50">
        <v>5</v>
      </c>
      <c r="B16" s="54" t="s">
        <v>39</v>
      </c>
      <c r="C16" s="66">
        <v>972.56</v>
      </c>
      <c r="D16" s="66">
        <v>726.45</v>
      </c>
      <c r="E16" s="66">
        <v>8416.4803260999997</v>
      </c>
      <c r="F16" s="66">
        <v>7217.6356846479994</v>
      </c>
      <c r="G16" s="55">
        <f t="shared" si="0"/>
        <v>2.9720767114645462E-2</v>
      </c>
      <c r="H16" s="55">
        <f t="shared" si="1"/>
        <v>0.16609935633104311</v>
      </c>
    </row>
    <row r="17" spans="1:8" s="4" customFormat="1" ht="25.5">
      <c r="A17" s="50">
        <v>6</v>
      </c>
      <c r="B17" s="54" t="s">
        <v>40</v>
      </c>
      <c r="C17" s="66">
        <v>1290.71</v>
      </c>
      <c r="D17" s="66">
        <v>1082.07</v>
      </c>
      <c r="E17" s="66">
        <v>12270.926911810504</v>
      </c>
      <c r="F17" s="66">
        <v>13293.979957454096</v>
      </c>
      <c r="G17" s="55">
        <f t="shared" si="0"/>
        <v>4.3331814118996427E-2</v>
      </c>
      <c r="H17" s="55">
        <f t="shared" si="1"/>
        <v>-7.6956114641195436E-2</v>
      </c>
    </row>
    <row r="18" spans="1:8" s="4" customFormat="1" ht="25.5">
      <c r="A18" s="50">
        <v>7</v>
      </c>
      <c r="B18" s="54" t="s">
        <v>41</v>
      </c>
      <c r="C18" s="66">
        <v>2977.59</v>
      </c>
      <c r="D18" s="66">
        <v>2561.33</v>
      </c>
      <c r="E18" s="66">
        <v>24349.826367197991</v>
      </c>
      <c r="F18" s="66">
        <v>23184.15</v>
      </c>
      <c r="G18" s="55">
        <f t="shared" si="0"/>
        <v>8.5985529663429816E-2</v>
      </c>
      <c r="H18" s="55">
        <f t="shared" si="1"/>
        <v>5.0279021107005849E-2</v>
      </c>
    </row>
    <row r="19" spans="1:8" s="4" customFormat="1" ht="25.5">
      <c r="A19" s="50">
        <v>8</v>
      </c>
      <c r="B19" s="54" t="s">
        <v>42</v>
      </c>
      <c r="C19" s="66">
        <v>845.55</v>
      </c>
      <c r="D19" s="66">
        <v>798.75</v>
      </c>
      <c r="E19" s="66">
        <v>7452.0373659397837</v>
      </c>
      <c r="F19" s="66">
        <v>7109.4997375279981</v>
      </c>
      <c r="G19" s="55">
        <f t="shared" si="0"/>
        <v>2.6315069779930336E-2</v>
      </c>
      <c r="H19" s="55">
        <f t="shared" si="1"/>
        <v>4.8180271616535333E-2</v>
      </c>
    </row>
    <row r="20" spans="1:8" s="4" customFormat="1" ht="25.5">
      <c r="A20" s="50">
        <v>9</v>
      </c>
      <c r="B20" s="54" t="s">
        <v>43</v>
      </c>
      <c r="C20" s="66">
        <v>125.5</v>
      </c>
      <c r="D20" s="66">
        <v>19.36</v>
      </c>
      <c r="E20" s="66">
        <v>653.39021645140849</v>
      </c>
      <c r="F20" s="66">
        <v>734.66995641100004</v>
      </c>
      <c r="G20" s="55">
        <f t="shared" si="0"/>
        <v>2.3072897108687867E-3</v>
      </c>
      <c r="H20" s="55">
        <f t="shared" si="1"/>
        <v>-0.11063435934777878</v>
      </c>
    </row>
    <row r="21" spans="1:8" s="4" customFormat="1" ht="25.5">
      <c r="A21" s="50">
        <v>10</v>
      </c>
      <c r="B21" s="54" t="s">
        <v>44</v>
      </c>
      <c r="C21" s="66">
        <v>272.52</v>
      </c>
      <c r="D21" s="66">
        <v>220.27</v>
      </c>
      <c r="E21" s="66">
        <v>2344.3958027092772</v>
      </c>
      <c r="F21" s="66">
        <v>1921.446660915087</v>
      </c>
      <c r="G21" s="55">
        <f t="shared" si="0"/>
        <v>8.2786674449652695E-3</v>
      </c>
      <c r="H21" s="55">
        <f t="shared" si="1"/>
        <v>0.2201201575862434</v>
      </c>
    </row>
    <row r="22" spans="1:8" s="4" customFormat="1" ht="25.5">
      <c r="A22" s="50">
        <v>11</v>
      </c>
      <c r="B22" s="54" t="s">
        <v>93</v>
      </c>
      <c r="C22" s="66">
        <v>506.07844416199998</v>
      </c>
      <c r="D22" s="66">
        <v>454.83592979721413</v>
      </c>
      <c r="E22" s="66">
        <v>3023.3129966982378</v>
      </c>
      <c r="F22" s="66">
        <v>2700.3840558931101</v>
      </c>
      <c r="G22" s="55">
        <f t="shared" si="0"/>
        <v>1.0676099510492885E-2</v>
      </c>
      <c r="H22" s="55">
        <f t="shared" si="1"/>
        <v>0.11958630110424198</v>
      </c>
    </row>
    <row r="23" spans="1:8" s="4" customFormat="1" ht="25.5">
      <c r="A23" s="50">
        <v>12</v>
      </c>
      <c r="B23" s="54" t="s">
        <v>45</v>
      </c>
      <c r="C23" s="66">
        <v>1358.59</v>
      </c>
      <c r="D23" s="66">
        <v>1254.17</v>
      </c>
      <c r="E23" s="66">
        <v>14991.26</v>
      </c>
      <c r="F23" s="66">
        <v>14086.56</v>
      </c>
      <c r="G23" s="55">
        <f t="shared" si="0"/>
        <v>5.2938013273008885E-2</v>
      </c>
      <c r="H23" s="55">
        <f t="shared" si="1"/>
        <v>6.422433866039691E-2</v>
      </c>
    </row>
    <row r="24" spans="1:8" s="4" customFormat="1" ht="25.5">
      <c r="A24" s="50">
        <v>13</v>
      </c>
      <c r="B24" s="54" t="s">
        <v>46</v>
      </c>
      <c r="C24" s="66">
        <v>19.78</v>
      </c>
      <c r="D24" s="66">
        <v>7.73</v>
      </c>
      <c r="E24" s="66">
        <v>102.98370175771467</v>
      </c>
      <c r="F24" s="66">
        <v>49.555338753507101</v>
      </c>
      <c r="G24" s="55">
        <f t="shared" si="0"/>
        <v>3.6366206513351696E-4</v>
      </c>
      <c r="H24" s="55">
        <f t="shared" si="1"/>
        <v>1.0781555398090457</v>
      </c>
    </row>
    <row r="25" spans="1:8" s="4" customFormat="1" ht="25.5">
      <c r="A25" s="50">
        <v>14</v>
      </c>
      <c r="B25" s="54" t="s">
        <v>47</v>
      </c>
      <c r="C25" s="66">
        <v>127.87</v>
      </c>
      <c r="D25" s="66">
        <v>16.22</v>
      </c>
      <c r="E25" s="66">
        <v>314.34263560535703</v>
      </c>
      <c r="F25" s="66">
        <v>327.65207155450457</v>
      </c>
      <c r="G25" s="55">
        <f t="shared" si="0"/>
        <v>1.1100250823445786E-3</v>
      </c>
      <c r="H25" s="55">
        <f t="shared" si="1"/>
        <v>-4.0620637269291708E-2</v>
      </c>
    </row>
    <row r="26" spans="1:8" s="4" customFormat="1" ht="25.5">
      <c r="A26" s="50">
        <v>15</v>
      </c>
      <c r="B26" s="54" t="s">
        <v>48</v>
      </c>
      <c r="C26" s="66">
        <v>917.65091200011864</v>
      </c>
      <c r="D26" s="66">
        <v>883.04063160568433</v>
      </c>
      <c r="E26" s="66">
        <v>10681.802013294138</v>
      </c>
      <c r="F26" s="66">
        <v>11157.987988445042</v>
      </c>
      <c r="G26" s="55">
        <f t="shared" si="0"/>
        <v>3.7720203422488711E-2</v>
      </c>
      <c r="H26" s="55">
        <f t="shared" si="1"/>
        <v>-4.2676688274268716E-2</v>
      </c>
    </row>
    <row r="27" spans="1:8" s="4" customFormat="1" ht="25.5">
      <c r="A27" s="50">
        <v>16</v>
      </c>
      <c r="B27" s="54" t="s">
        <v>49</v>
      </c>
      <c r="C27" s="66">
        <v>475.85248121555071</v>
      </c>
      <c r="D27" s="66">
        <v>376.49548753888541</v>
      </c>
      <c r="E27" s="66">
        <v>3653.4036364448416</v>
      </c>
      <c r="F27" s="66">
        <v>3194.614267211236</v>
      </c>
      <c r="G27" s="55">
        <f t="shared" si="0"/>
        <v>1.2901112394673692E-2</v>
      </c>
      <c r="H27" s="55">
        <f t="shared" si="1"/>
        <v>0.14361338517219779</v>
      </c>
    </row>
    <row r="28" spans="1:8" s="4" customFormat="1" ht="25.5">
      <c r="A28" s="50">
        <v>17</v>
      </c>
      <c r="B28" s="54" t="s">
        <v>50</v>
      </c>
      <c r="C28" s="66">
        <v>2033.2</v>
      </c>
      <c r="D28" s="66">
        <v>1731.97</v>
      </c>
      <c r="E28" s="66">
        <v>12801.789783432196</v>
      </c>
      <c r="F28" s="66">
        <v>11136.341457869443</v>
      </c>
      <c r="G28" s="55">
        <f t="shared" si="0"/>
        <v>4.5206428110352505E-2</v>
      </c>
      <c r="H28" s="55">
        <f t="shared" si="1"/>
        <v>0.14955075972332652</v>
      </c>
    </row>
    <row r="29" spans="1:8" s="4" customFormat="1" ht="25.5">
      <c r="A29" s="50">
        <v>18</v>
      </c>
      <c r="B29" s="54" t="s">
        <v>51</v>
      </c>
      <c r="C29" s="66">
        <v>441.17</v>
      </c>
      <c r="D29" s="66">
        <v>365.6</v>
      </c>
      <c r="E29" s="66">
        <v>3745.0203322980001</v>
      </c>
      <c r="F29" s="66">
        <v>3019.877280612</v>
      </c>
      <c r="G29" s="55">
        <f t="shared" si="0"/>
        <v>1.3224634624366443E-2</v>
      </c>
      <c r="H29" s="55">
        <f t="shared" si="1"/>
        <v>0.24012335082008515</v>
      </c>
    </row>
    <row r="30" spans="1:8" s="4" customFormat="1" ht="25.5">
      <c r="A30" s="50">
        <v>19</v>
      </c>
      <c r="B30" s="54" t="s">
        <v>52</v>
      </c>
      <c r="C30" s="66">
        <v>1724</v>
      </c>
      <c r="D30" s="66">
        <v>1560</v>
      </c>
      <c r="E30" s="66">
        <v>16708.86622145569</v>
      </c>
      <c r="F30" s="66">
        <v>14806.780236201392</v>
      </c>
      <c r="G30" s="55">
        <f t="shared" si="0"/>
        <v>5.9003324724429505E-2</v>
      </c>
      <c r="H30" s="55">
        <f t="shared" si="1"/>
        <v>0.12846047249380052</v>
      </c>
    </row>
    <row r="31" spans="1:8" s="4" customFormat="1" ht="25.5">
      <c r="A31" s="50">
        <v>20</v>
      </c>
      <c r="B31" s="54" t="s">
        <v>53</v>
      </c>
      <c r="C31" s="66">
        <v>3518.06</v>
      </c>
      <c r="D31" s="66">
        <v>3787.54</v>
      </c>
      <c r="E31" s="66">
        <v>37023.956467800002</v>
      </c>
      <c r="F31" s="66">
        <v>33240.442314799999</v>
      </c>
      <c r="G31" s="55">
        <f t="shared" si="0"/>
        <v>0.13074115844243245</v>
      </c>
      <c r="H31" s="55">
        <f t="shared" si="1"/>
        <v>0.11382261755630818</v>
      </c>
    </row>
    <row r="32" spans="1:8" s="4" customFormat="1" ht="25.5">
      <c r="A32" s="50">
        <v>21</v>
      </c>
      <c r="B32" s="54" t="s">
        <v>54</v>
      </c>
      <c r="C32" s="66">
        <v>1549.29</v>
      </c>
      <c r="D32" s="66">
        <v>1768.25</v>
      </c>
      <c r="E32" s="66">
        <v>17782.035499999998</v>
      </c>
      <c r="F32" s="66">
        <v>16703.031000000003</v>
      </c>
      <c r="G32" s="55">
        <f t="shared" si="0"/>
        <v>6.2792962787658613E-2</v>
      </c>
      <c r="H32" s="55">
        <f t="shared" si="1"/>
        <v>6.459932332041983E-2</v>
      </c>
    </row>
    <row r="33" spans="1:8" s="4" customFormat="1" ht="25.5">
      <c r="A33" s="50">
        <v>22</v>
      </c>
      <c r="B33" s="54" t="s">
        <v>55</v>
      </c>
      <c r="C33" s="66">
        <v>2687.44</v>
      </c>
      <c r="D33" s="66">
        <v>2398.3200000000002</v>
      </c>
      <c r="E33" s="66">
        <v>18027.41</v>
      </c>
      <c r="F33" s="66">
        <v>16703.010000000002</v>
      </c>
      <c r="G33" s="55">
        <f t="shared" si="0"/>
        <v>6.3659443559645632E-2</v>
      </c>
      <c r="H33" s="55">
        <f t="shared" si="1"/>
        <v>7.9291097832067253E-2</v>
      </c>
    </row>
    <row r="34" spans="1:8" s="4" customFormat="1" ht="25.5">
      <c r="A34" s="50">
        <v>23</v>
      </c>
      <c r="B34" s="54" t="s">
        <v>56</v>
      </c>
      <c r="C34" s="66">
        <v>669.81</v>
      </c>
      <c r="D34" s="66">
        <v>428.41</v>
      </c>
      <c r="E34" s="66">
        <v>5105.6607822990154</v>
      </c>
      <c r="F34" s="66">
        <v>4449.9490400749892</v>
      </c>
      <c r="G34" s="55">
        <f t="shared" si="0"/>
        <v>1.802940768559989E-2</v>
      </c>
      <c r="H34" s="55">
        <f t="shared" si="1"/>
        <v>0.14735264074237048</v>
      </c>
    </row>
    <row r="35" spans="1:8" s="4" customFormat="1" ht="25.5">
      <c r="A35" s="50">
        <v>24</v>
      </c>
      <c r="B35" s="54" t="s">
        <v>57</v>
      </c>
      <c r="C35" s="66">
        <v>133.82</v>
      </c>
      <c r="D35" s="66">
        <v>93.43</v>
      </c>
      <c r="E35" s="66">
        <v>990.64999999999986</v>
      </c>
      <c r="F35" s="66">
        <v>830.02</v>
      </c>
      <c r="G35" s="55">
        <f t="shared" si="0"/>
        <v>3.4982411651126219E-3</v>
      </c>
      <c r="H35" s="55">
        <f t="shared" si="1"/>
        <v>0.19352545721789824</v>
      </c>
    </row>
    <row r="36" spans="1:8" s="4" customFormat="1" ht="25.5">
      <c r="A36" s="50">
        <v>25</v>
      </c>
      <c r="B36" s="54" t="s">
        <v>86</v>
      </c>
      <c r="C36" s="66">
        <v>345.05</v>
      </c>
      <c r="D36" s="66">
        <v>168.45</v>
      </c>
      <c r="E36" s="66">
        <v>1875.4681212942883</v>
      </c>
      <c r="F36" s="66">
        <v>1569.0440808735436</v>
      </c>
      <c r="G36" s="55">
        <f t="shared" si="0"/>
        <v>6.6227626162298613E-3</v>
      </c>
      <c r="H36" s="55">
        <f t="shared" si="1"/>
        <v>0.19529345552238869</v>
      </c>
    </row>
    <row r="37" spans="1:8" s="4" customFormat="1" ht="25.5">
      <c r="A37" s="50"/>
      <c r="B37" s="56" t="s">
        <v>58</v>
      </c>
      <c r="C37" s="47">
        <f>SUM(C12:C36)</f>
        <v>26516.831837377671</v>
      </c>
      <c r="D37" s="47">
        <f t="shared" ref="D37:F37" si="2">SUM(D12:D36)</f>
        <v>24090.012048941782</v>
      </c>
      <c r="E37" s="47">
        <f>SUM(E12:E36)</f>
        <v>236085.739995601</v>
      </c>
      <c r="F37" s="47">
        <f t="shared" si="2"/>
        <v>219304.27818716416</v>
      </c>
      <c r="G37" s="57">
        <f t="shared" ref="G37" si="3">E37/$E$99</f>
        <v>0.83367975990378729</v>
      </c>
      <c r="H37" s="58">
        <f t="shared" si="1"/>
        <v>7.652136085605582E-2</v>
      </c>
    </row>
    <row r="38" spans="1:8" s="4" customFormat="1" ht="25.5">
      <c r="A38" s="50">
        <v>26</v>
      </c>
      <c r="B38" s="54" t="s">
        <v>59</v>
      </c>
      <c r="C38" s="66">
        <v>613.83000000000004</v>
      </c>
      <c r="D38" s="66">
        <v>556.99</v>
      </c>
      <c r="E38" s="66">
        <v>5032.0045086751888</v>
      </c>
      <c r="F38" s="66">
        <v>3775.554701358772</v>
      </c>
      <c r="G38" s="55">
        <f t="shared" ref="G38:G45" si="4">E38/$E$50</f>
        <v>1.7769308348336812E-2</v>
      </c>
      <c r="H38" s="55">
        <f t="shared" si="1"/>
        <v>0.33278548629271276</v>
      </c>
    </row>
    <row r="39" spans="1:8" s="4" customFormat="1" ht="25.5">
      <c r="A39" s="50">
        <v>27</v>
      </c>
      <c r="B39" s="54" t="s">
        <v>60</v>
      </c>
      <c r="C39" s="66">
        <v>1061.6041376209978</v>
      </c>
      <c r="D39" s="66">
        <v>770.71186723643712</v>
      </c>
      <c r="E39" s="66">
        <v>7940.520241806541</v>
      </c>
      <c r="F39" s="66">
        <v>6767.3844216763691</v>
      </c>
      <c r="G39" s="55">
        <f t="shared" si="4"/>
        <v>2.8040029053952129E-2</v>
      </c>
      <c r="H39" s="55">
        <f t="shared" si="1"/>
        <v>0.17335143787200002</v>
      </c>
    </row>
    <row r="40" spans="1:8" s="4" customFormat="1" ht="25.5">
      <c r="A40" s="50">
        <v>28</v>
      </c>
      <c r="B40" s="54" t="s">
        <v>61</v>
      </c>
      <c r="C40" s="66">
        <v>246.42</v>
      </c>
      <c r="D40" s="66">
        <v>232.73</v>
      </c>
      <c r="E40" s="66">
        <v>1791.8389892668611</v>
      </c>
      <c r="F40" s="66">
        <v>1442.4117305748073</v>
      </c>
      <c r="G40" s="55">
        <f t="shared" si="4"/>
        <v>6.3274465386434437E-3</v>
      </c>
      <c r="H40" s="55">
        <f t="shared" si="1"/>
        <v>0.2422520916082716</v>
      </c>
    </row>
    <row r="41" spans="1:8" s="4" customFormat="1" ht="25.5">
      <c r="A41" s="50">
        <v>29</v>
      </c>
      <c r="B41" s="54" t="s">
        <v>62</v>
      </c>
      <c r="C41" s="66">
        <v>854.19</v>
      </c>
      <c r="D41" s="66">
        <v>632.84</v>
      </c>
      <c r="E41" s="66">
        <v>6560.4371967064289</v>
      </c>
      <c r="F41" s="66">
        <v>5316.4181306550008</v>
      </c>
      <c r="G41" s="55">
        <f t="shared" si="4"/>
        <v>2.3166599164845793E-2</v>
      </c>
      <c r="H41" s="55">
        <f t="shared" si="1"/>
        <v>0.23399571581442952</v>
      </c>
    </row>
    <row r="42" spans="1:8" s="4" customFormat="1" ht="25.5">
      <c r="A42" s="50"/>
      <c r="B42" s="54" t="s">
        <v>63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44">
        <v>0</v>
      </c>
    </row>
    <row r="43" spans="1:8" s="4" customFormat="1" ht="25.5">
      <c r="A43" s="50">
        <v>30</v>
      </c>
      <c r="B43" s="54" t="s">
        <v>64</v>
      </c>
      <c r="C43" s="66">
        <v>1728.46</v>
      </c>
      <c r="D43" s="66">
        <v>1467.57</v>
      </c>
      <c r="E43" s="66">
        <v>14366.98077168208</v>
      </c>
      <c r="F43" s="66">
        <v>13070.7063366</v>
      </c>
      <c r="G43" s="55">
        <f t="shared" si="4"/>
        <v>5.0733521984434218E-2</v>
      </c>
      <c r="H43" s="55">
        <f t="shared" si="1"/>
        <v>9.9174015672918184E-2</v>
      </c>
    </row>
    <row r="44" spans="1:8" s="4" customFormat="1" ht="25.5">
      <c r="A44" s="50">
        <v>31</v>
      </c>
      <c r="B44" s="54" t="s">
        <v>89</v>
      </c>
      <c r="C44" s="66">
        <v>0.99</v>
      </c>
      <c r="D44" s="66">
        <v>0.5</v>
      </c>
      <c r="E44" s="66">
        <v>24.973176507450763</v>
      </c>
      <c r="F44" s="66">
        <v>1.1501819</v>
      </c>
      <c r="G44" s="55">
        <f t="shared" si="4"/>
        <v>8.8186740101940873E-5</v>
      </c>
      <c r="H44" s="55">
        <f t="shared" si="1"/>
        <v>20.712371327918447</v>
      </c>
    </row>
    <row r="45" spans="1:8" s="4" customFormat="1" ht="25.5">
      <c r="A45" s="50">
        <v>32</v>
      </c>
      <c r="B45" s="54" t="s">
        <v>91</v>
      </c>
      <c r="C45" s="66">
        <v>22.14</v>
      </c>
      <c r="D45" s="66">
        <v>2.91</v>
      </c>
      <c r="E45" s="66">
        <v>97.975264097162139</v>
      </c>
      <c r="F45" s="66">
        <v>5.2900185698644062</v>
      </c>
      <c r="G45" s="55">
        <f t="shared" si="4"/>
        <v>3.459759774163159E-4</v>
      </c>
      <c r="H45" s="44">
        <v>0</v>
      </c>
    </row>
    <row r="46" spans="1:8" s="4" customFormat="1" ht="25.5">
      <c r="A46" s="50"/>
      <c r="B46" s="56" t="s">
        <v>65</v>
      </c>
      <c r="C46" s="49">
        <f>SUM(C38:C45)</f>
        <v>4527.6341376209975</v>
      </c>
      <c r="D46" s="49">
        <f>SUM(D38:D45)</f>
        <v>3664.2518672364367</v>
      </c>
      <c r="E46" s="49">
        <f>SUM(E38:E45)</f>
        <v>35814.730148741721</v>
      </c>
      <c r="F46" s="49">
        <f>SUM(F38:F45)</f>
        <v>30378.915521334813</v>
      </c>
      <c r="G46" s="57">
        <f t="shared" ref="G46" si="5">E46/$E$99</f>
        <v>0.12647106780773068</v>
      </c>
      <c r="H46" s="58">
        <f t="shared" si="1"/>
        <v>0.178933794512493</v>
      </c>
    </row>
    <row r="47" spans="1:8" s="4" customFormat="1" ht="25.5">
      <c r="A47" s="50">
        <v>33</v>
      </c>
      <c r="B47" s="54" t="s">
        <v>66</v>
      </c>
      <c r="C47" s="66">
        <v>2164.2800000000002</v>
      </c>
      <c r="D47" s="66">
        <v>1105.1400000000001</v>
      </c>
      <c r="E47" s="66">
        <v>10141.344411945638</v>
      </c>
      <c r="F47" s="66">
        <v>8337.629471029999</v>
      </c>
      <c r="G47" s="55">
        <f>E47/$E$50</f>
        <v>3.5811707960887389E-2</v>
      </c>
      <c r="H47" s="55">
        <f t="shared" ref="H47:H50" si="6">((E47-F47)/F47)</f>
        <v>0.21633426469512024</v>
      </c>
    </row>
    <row r="48" spans="1:8" s="4" customFormat="1" ht="25.5">
      <c r="A48" s="50">
        <v>34</v>
      </c>
      <c r="B48" s="54" t="s">
        <v>67</v>
      </c>
      <c r="C48" s="66">
        <v>119.3</v>
      </c>
      <c r="D48" s="66">
        <v>119.96</v>
      </c>
      <c r="E48" s="66">
        <v>1143.3499999999999</v>
      </c>
      <c r="F48" s="66">
        <v>1076.4499999999998</v>
      </c>
      <c r="G48" s="55">
        <f>E48/$E$50</f>
        <v>4.0374643275945254E-3</v>
      </c>
      <c r="H48" s="55">
        <f t="shared" si="6"/>
        <v>6.2148729620511961E-2</v>
      </c>
    </row>
    <row r="49" spans="1:8" s="4" customFormat="1" ht="26.25">
      <c r="A49" s="59"/>
      <c r="B49" s="56" t="s">
        <v>68</v>
      </c>
      <c r="C49" s="51">
        <f>SUM(C47:C48)</f>
        <v>2283.5800000000004</v>
      </c>
      <c r="D49" s="51">
        <f t="shared" ref="D49:F49" si="7">SUM(D47:D48)</f>
        <v>1225.1000000000001</v>
      </c>
      <c r="E49" s="51">
        <f t="shared" si="7"/>
        <v>11284.694411945638</v>
      </c>
      <c r="F49" s="51">
        <f t="shared" si="7"/>
        <v>9414.0794710299997</v>
      </c>
      <c r="G49" s="57">
        <f>E49/$E$99</f>
        <v>3.9849172288481914E-2</v>
      </c>
      <c r="H49" s="57">
        <f t="shared" si="6"/>
        <v>0.19870396746406196</v>
      </c>
    </row>
    <row r="50" spans="1:8" s="4" customFormat="1" ht="26.25">
      <c r="A50" s="59"/>
      <c r="B50" s="56" t="s">
        <v>69</v>
      </c>
      <c r="C50" s="53">
        <f>(C37+C46+C49)</f>
        <v>33328.045974998669</v>
      </c>
      <c r="D50" s="53">
        <f t="shared" ref="D50:F50" si="8">(D37+D46+D49)</f>
        <v>28979.363916178219</v>
      </c>
      <c r="E50" s="53">
        <f t="shared" si="8"/>
        <v>283185.16455628839</v>
      </c>
      <c r="F50" s="53">
        <f t="shared" si="8"/>
        <v>259097.27317952897</v>
      </c>
      <c r="G50" s="57">
        <f>E50/$E$99</f>
        <v>1</v>
      </c>
      <c r="H50" s="57">
        <f t="shared" si="6"/>
        <v>9.2968525222837356E-2</v>
      </c>
    </row>
    <row r="51" spans="1:8" s="6" customFormat="1" ht="20.100000000000001" customHeight="1">
      <c r="A51" s="68" t="s">
        <v>70</v>
      </c>
      <c r="B51" s="68"/>
      <c r="C51" s="68"/>
      <c r="D51" s="68"/>
      <c r="E51" s="28"/>
      <c r="F51" s="28"/>
      <c r="G51" s="29"/>
      <c r="H51" s="30"/>
    </row>
    <row r="52" spans="1:8" s="6" customFormat="1" ht="20.100000000000001" customHeight="1">
      <c r="A52" s="69" t="s">
        <v>71</v>
      </c>
      <c r="B52" s="69"/>
      <c r="C52" s="69"/>
      <c r="D52" s="69"/>
      <c r="E52" s="69"/>
      <c r="F52" s="69"/>
      <c r="G52" s="69"/>
      <c r="H52" s="69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70" t="s">
        <v>72</v>
      </c>
      <c r="B54" s="70"/>
      <c r="C54" s="70"/>
      <c r="D54" s="70"/>
      <c r="E54" s="70"/>
      <c r="F54" s="70"/>
      <c r="G54" s="70"/>
      <c r="H54" s="70"/>
    </row>
    <row r="55" spans="1:8" s="2" customFormat="1" ht="38.1" customHeight="1">
      <c r="A55" s="71" t="s">
        <v>87</v>
      </c>
      <c r="B55" s="71"/>
      <c r="C55" s="71"/>
      <c r="D55" s="71"/>
      <c r="E55" s="71"/>
      <c r="F55" s="71"/>
      <c r="G55" s="71"/>
      <c r="H55" s="71"/>
    </row>
    <row r="56" spans="1:8" s="2" customFormat="1" ht="38.1" customHeight="1">
      <c r="A56" s="72" t="s">
        <v>102</v>
      </c>
      <c r="B56" s="72"/>
      <c r="C56" s="72"/>
      <c r="D56" s="72"/>
      <c r="E56" s="72"/>
      <c r="F56" s="72"/>
      <c r="G56" s="72"/>
      <c r="H56" s="72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81" t="s">
        <v>73</v>
      </c>
      <c r="D58" s="81"/>
      <c r="E58" s="81"/>
      <c r="F58" s="81"/>
      <c r="G58" s="82" t="s">
        <v>105</v>
      </c>
      <c r="H58" s="82" t="s">
        <v>74</v>
      </c>
    </row>
    <row r="59" spans="1:8" s="4" customFormat="1" ht="33" customHeight="1">
      <c r="A59" s="83" t="s">
        <v>75</v>
      </c>
      <c r="B59" s="84" t="s">
        <v>76</v>
      </c>
      <c r="C59" s="85" t="s">
        <v>103</v>
      </c>
      <c r="D59" s="85"/>
      <c r="E59" s="85" t="s">
        <v>104</v>
      </c>
      <c r="F59" s="85"/>
      <c r="G59" s="82"/>
      <c r="H59" s="82"/>
    </row>
    <row r="60" spans="1:8" s="36" customFormat="1" ht="70.5" customHeight="1">
      <c r="A60" s="83" t="s">
        <v>75</v>
      </c>
      <c r="B60" s="84"/>
      <c r="C60" s="35" t="s">
        <v>94</v>
      </c>
      <c r="D60" s="35" t="s">
        <v>0</v>
      </c>
      <c r="E60" s="60" t="s">
        <v>94</v>
      </c>
      <c r="F60" s="60" t="s">
        <v>0</v>
      </c>
      <c r="G60" s="82"/>
      <c r="H60" s="82"/>
    </row>
    <row r="61" spans="1:8" s="4" customFormat="1" ht="24.75" customHeight="1">
      <c r="A61" s="42">
        <v>1</v>
      </c>
      <c r="B61" s="43" t="s">
        <v>20</v>
      </c>
      <c r="C61" s="66">
        <v>261.69</v>
      </c>
      <c r="D61" s="66">
        <v>184.03</v>
      </c>
      <c r="E61" s="66">
        <v>2150.3056820000002</v>
      </c>
      <c r="F61" s="66">
        <v>1739.9858746972729</v>
      </c>
      <c r="G61" s="45">
        <f t="shared" ref="G61:G98" si="9">E61/$E$99</f>
        <v>7.5932850697501362E-3</v>
      </c>
      <c r="H61" s="45">
        <f t="shared" ref="H61:H85" si="10">((E61-F61)/F61)</f>
        <v>0.23581789557579924</v>
      </c>
    </row>
    <row r="62" spans="1:8" s="4" customFormat="1" ht="24.75" customHeight="1">
      <c r="A62" s="42">
        <v>2</v>
      </c>
      <c r="B62" s="43" t="s">
        <v>97</v>
      </c>
      <c r="C62" s="66">
        <v>1821.05</v>
      </c>
      <c r="D62" s="66">
        <v>1674.81</v>
      </c>
      <c r="E62" s="66">
        <v>20700.197510400001</v>
      </c>
      <c r="F62" s="66">
        <v>18787.264574100005</v>
      </c>
      <c r="G62" s="45">
        <f t="shared" si="9"/>
        <v>7.3097746991210924E-2</v>
      </c>
      <c r="H62" s="45">
        <f t="shared" si="10"/>
        <v>0.10182072694803863</v>
      </c>
    </row>
    <row r="63" spans="1:8" s="4" customFormat="1" ht="24.75" customHeight="1">
      <c r="A63" s="42">
        <v>3</v>
      </c>
      <c r="B63" s="43" t="s">
        <v>13</v>
      </c>
      <c r="C63" s="66">
        <v>736</v>
      </c>
      <c r="D63" s="66">
        <v>733.48</v>
      </c>
      <c r="E63" s="66">
        <v>6449.9299525859606</v>
      </c>
      <c r="F63" s="66">
        <v>6828.6399645707716</v>
      </c>
      <c r="G63" s="45">
        <f t="shared" si="9"/>
        <v>2.2776369527309454E-2</v>
      </c>
      <c r="H63" s="45">
        <f t="shared" si="10"/>
        <v>-5.5459068562654201E-2</v>
      </c>
    </row>
    <row r="64" spans="1:8" s="4" customFormat="1" ht="24.75" customHeight="1">
      <c r="A64" s="42">
        <v>4</v>
      </c>
      <c r="B64" s="43" t="s">
        <v>95</v>
      </c>
      <c r="C64" s="66">
        <v>706</v>
      </c>
      <c r="D64" s="66">
        <v>795</v>
      </c>
      <c r="E64" s="66">
        <v>4470.2876680266554</v>
      </c>
      <c r="F64" s="66">
        <v>4511.7566445511784</v>
      </c>
      <c r="G64" s="45">
        <f t="shared" si="9"/>
        <v>1.5785741018711105E-2</v>
      </c>
      <c r="H64" s="45">
        <f t="shared" si="10"/>
        <v>-9.1913150002460395E-3</v>
      </c>
    </row>
    <row r="65" spans="1:10" s="4" customFormat="1" ht="24.75" customHeight="1">
      <c r="A65" s="42">
        <v>5</v>
      </c>
      <c r="B65" s="43" t="s">
        <v>11</v>
      </c>
      <c r="C65" s="66">
        <v>972.56</v>
      </c>
      <c r="D65" s="66">
        <v>726.45</v>
      </c>
      <c r="E65" s="66">
        <v>8416.4803260999997</v>
      </c>
      <c r="F65" s="66">
        <v>7217.6356846479994</v>
      </c>
      <c r="G65" s="45">
        <f t="shared" si="9"/>
        <v>2.9720767114645462E-2</v>
      </c>
      <c r="H65" s="45">
        <f t="shared" si="10"/>
        <v>0.16609935633104311</v>
      </c>
    </row>
    <row r="66" spans="1:10" s="4" customFormat="1" ht="24.75" customHeight="1">
      <c r="A66" s="42">
        <v>6</v>
      </c>
      <c r="B66" s="43" t="s">
        <v>6</v>
      </c>
      <c r="C66" s="66">
        <v>1290.71</v>
      </c>
      <c r="D66" s="66">
        <v>1082.07</v>
      </c>
      <c r="E66" s="66">
        <v>12270.926911810504</v>
      </c>
      <c r="F66" s="66">
        <v>13293.979957454096</v>
      </c>
      <c r="G66" s="45">
        <f t="shared" si="9"/>
        <v>4.3331814118996427E-2</v>
      </c>
      <c r="H66" s="45">
        <f t="shared" si="10"/>
        <v>-7.6956114641195436E-2</v>
      </c>
    </row>
    <row r="67" spans="1:10" s="4" customFormat="1" ht="24.75" customHeight="1">
      <c r="A67" s="42">
        <v>7</v>
      </c>
      <c r="B67" s="43" t="s">
        <v>2</v>
      </c>
      <c r="C67" s="66">
        <v>2977.59</v>
      </c>
      <c r="D67" s="66">
        <v>2561.33</v>
      </c>
      <c r="E67" s="66">
        <v>24349.826367197991</v>
      </c>
      <c r="F67" s="66">
        <v>23184.15</v>
      </c>
      <c r="G67" s="45">
        <f t="shared" si="9"/>
        <v>8.5985529663429816E-2</v>
      </c>
      <c r="H67" s="45">
        <f t="shared" si="10"/>
        <v>5.0279021107005849E-2</v>
      </c>
    </row>
    <row r="68" spans="1:10" s="4" customFormat="1" ht="24.75" customHeight="1">
      <c r="A68" s="42">
        <v>8</v>
      </c>
      <c r="B68" s="43" t="s">
        <v>14</v>
      </c>
      <c r="C68" s="66">
        <v>845.55</v>
      </c>
      <c r="D68" s="66">
        <v>798.75</v>
      </c>
      <c r="E68" s="66">
        <v>7452.0373659397837</v>
      </c>
      <c r="F68" s="66">
        <v>7109.4997375279981</v>
      </c>
      <c r="G68" s="45">
        <f t="shared" si="9"/>
        <v>2.6315069779930336E-2</v>
      </c>
      <c r="H68" s="45">
        <f t="shared" si="10"/>
        <v>4.8180271616535333E-2</v>
      </c>
    </row>
    <row r="69" spans="1:10" s="4" customFormat="1" ht="24.75" customHeight="1">
      <c r="A69" s="42">
        <v>9</v>
      </c>
      <c r="B69" s="43" t="s">
        <v>23</v>
      </c>
      <c r="C69" s="66">
        <v>125.5</v>
      </c>
      <c r="D69" s="66">
        <v>19.36</v>
      </c>
      <c r="E69" s="66">
        <v>653.39021645140849</v>
      </c>
      <c r="F69" s="66">
        <v>734.66995641100004</v>
      </c>
      <c r="G69" s="45">
        <f t="shared" si="9"/>
        <v>2.3072897108687867E-3</v>
      </c>
      <c r="H69" s="45">
        <f t="shared" si="10"/>
        <v>-0.11063435934777878</v>
      </c>
    </row>
    <row r="70" spans="1:10" s="4" customFormat="1" ht="24.75" customHeight="1">
      <c r="A70" s="42">
        <v>10</v>
      </c>
      <c r="B70" s="43" t="s">
        <v>19</v>
      </c>
      <c r="C70" s="66">
        <v>272.52</v>
      </c>
      <c r="D70" s="66">
        <v>220.27</v>
      </c>
      <c r="E70" s="66">
        <v>2344.3958027092772</v>
      </c>
      <c r="F70" s="66">
        <v>1921.446660915087</v>
      </c>
      <c r="G70" s="45">
        <f t="shared" si="9"/>
        <v>8.2786674449652695E-3</v>
      </c>
      <c r="H70" s="45">
        <f t="shared" si="10"/>
        <v>0.2201201575862434</v>
      </c>
    </row>
    <row r="71" spans="1:10" s="4" customFormat="1" ht="24.75" customHeight="1">
      <c r="A71" s="42">
        <v>11</v>
      </c>
      <c r="B71" s="43" t="s">
        <v>92</v>
      </c>
      <c r="C71" s="66">
        <v>506.07844416199998</v>
      </c>
      <c r="D71" s="66">
        <v>454.83592979721413</v>
      </c>
      <c r="E71" s="66">
        <v>3023.3129966982378</v>
      </c>
      <c r="F71" s="66">
        <v>2700.3840558931101</v>
      </c>
      <c r="G71" s="45">
        <f t="shared" si="9"/>
        <v>1.0676099510492885E-2</v>
      </c>
      <c r="H71" s="45">
        <f t="shared" si="10"/>
        <v>0.11958630110424198</v>
      </c>
    </row>
    <row r="72" spans="1:10" s="4" customFormat="1" ht="24.75" customHeight="1">
      <c r="A72" s="42">
        <v>12</v>
      </c>
      <c r="B72" s="43" t="s">
        <v>7</v>
      </c>
      <c r="C72" s="4">
        <v>1358.59</v>
      </c>
      <c r="D72" s="4">
        <v>1254.17</v>
      </c>
      <c r="E72" s="66">
        <v>14991.26</v>
      </c>
      <c r="F72" s="66">
        <v>14086.56</v>
      </c>
      <c r="G72" s="45">
        <f t="shared" si="9"/>
        <v>5.2938013273008885E-2</v>
      </c>
      <c r="H72" s="45">
        <f t="shared" si="10"/>
        <v>6.422433866039691E-2</v>
      </c>
      <c r="J72" s="61"/>
    </row>
    <row r="73" spans="1:10" s="4" customFormat="1" ht="24.75" customHeight="1">
      <c r="A73" s="42">
        <v>13</v>
      </c>
      <c r="B73" s="43" t="s">
        <v>27</v>
      </c>
      <c r="C73" s="66">
        <v>19.78</v>
      </c>
      <c r="D73" s="66">
        <v>7.73</v>
      </c>
      <c r="E73" s="66">
        <v>102.98370175771467</v>
      </c>
      <c r="F73" s="66">
        <v>49.555338753507101</v>
      </c>
      <c r="G73" s="45">
        <f t="shared" si="9"/>
        <v>3.6366206513351696E-4</v>
      </c>
      <c r="H73" s="45">
        <f t="shared" si="10"/>
        <v>1.0781555398090457</v>
      </c>
    </row>
    <row r="74" spans="1:10" s="4" customFormat="1" ht="24.75" customHeight="1">
      <c r="A74" s="42">
        <v>14</v>
      </c>
      <c r="B74" s="43" t="s">
        <v>26</v>
      </c>
      <c r="C74" s="66">
        <v>127.87</v>
      </c>
      <c r="D74" s="66">
        <v>16.22</v>
      </c>
      <c r="E74" s="66">
        <v>314.34263560535703</v>
      </c>
      <c r="F74" s="66">
        <v>327.65207155450457</v>
      </c>
      <c r="G74" s="45">
        <f t="shared" si="9"/>
        <v>1.1100250823445786E-3</v>
      </c>
      <c r="H74" s="45">
        <f t="shared" si="10"/>
        <v>-4.0620637269291708E-2</v>
      </c>
    </row>
    <row r="75" spans="1:10" s="4" customFormat="1" ht="24.75" customHeight="1">
      <c r="A75" s="42">
        <v>15</v>
      </c>
      <c r="B75" s="43" t="s">
        <v>9</v>
      </c>
      <c r="C75" s="66">
        <v>917.65091200011864</v>
      </c>
      <c r="D75" s="66">
        <v>883.04063160568433</v>
      </c>
      <c r="E75" s="66">
        <v>10681.802013294138</v>
      </c>
      <c r="F75" s="66">
        <v>11157.987988445042</v>
      </c>
      <c r="G75" s="45">
        <f t="shared" si="9"/>
        <v>3.7720203422488711E-2</v>
      </c>
      <c r="H75" s="45">
        <f t="shared" si="10"/>
        <v>-4.2676688274268716E-2</v>
      </c>
    </row>
    <row r="76" spans="1:10" s="4" customFormat="1" ht="24.75" customHeight="1">
      <c r="A76" s="42">
        <v>16</v>
      </c>
      <c r="B76" s="43" t="s">
        <v>17</v>
      </c>
      <c r="C76" s="66">
        <v>475.85248121555071</v>
      </c>
      <c r="D76" s="66">
        <v>376.49548753888541</v>
      </c>
      <c r="E76" s="66">
        <v>3653.4036364448416</v>
      </c>
      <c r="F76" s="66">
        <v>3194.614267211236</v>
      </c>
      <c r="G76" s="45">
        <f t="shared" si="9"/>
        <v>1.2901112394673692E-2</v>
      </c>
      <c r="H76" s="45">
        <f t="shared" si="10"/>
        <v>0.14361338517219779</v>
      </c>
    </row>
    <row r="77" spans="1:10" s="4" customFormat="1" ht="24.75" customHeight="1">
      <c r="A77" s="42">
        <v>17</v>
      </c>
      <c r="B77" s="43" t="s">
        <v>10</v>
      </c>
      <c r="C77" s="66">
        <v>2033.2</v>
      </c>
      <c r="D77" s="66">
        <v>1731.97</v>
      </c>
      <c r="E77" s="66">
        <v>12801.789783432196</v>
      </c>
      <c r="F77" s="66">
        <v>11136.341457869443</v>
      </c>
      <c r="G77" s="45">
        <f t="shared" si="9"/>
        <v>4.5206428110352505E-2</v>
      </c>
      <c r="H77" s="45">
        <f t="shared" si="10"/>
        <v>0.14955075972332652</v>
      </c>
    </row>
    <row r="78" spans="1:10" s="4" customFormat="1" ht="24.75" customHeight="1">
      <c r="A78" s="42">
        <v>18</v>
      </c>
      <c r="B78" s="43" t="s">
        <v>18</v>
      </c>
      <c r="C78" s="66">
        <v>441.17</v>
      </c>
      <c r="D78" s="66">
        <v>365.6</v>
      </c>
      <c r="E78" s="66">
        <v>3745.0203322980001</v>
      </c>
      <c r="F78" s="66">
        <v>3019.877280612</v>
      </c>
      <c r="G78" s="45">
        <f t="shared" si="9"/>
        <v>1.3224634624366443E-2</v>
      </c>
      <c r="H78" s="45">
        <f t="shared" si="10"/>
        <v>0.24012335082008515</v>
      </c>
    </row>
    <row r="79" spans="1:10" s="4" customFormat="1" ht="24.75" customHeight="1">
      <c r="A79" s="63">
        <v>19</v>
      </c>
      <c r="B79" s="64" t="s">
        <v>5</v>
      </c>
      <c r="C79" s="66">
        <v>1724</v>
      </c>
      <c r="D79" s="66">
        <v>1560</v>
      </c>
      <c r="E79" s="66">
        <v>16708.86622145569</v>
      </c>
      <c r="F79" s="66">
        <v>14806.780236201392</v>
      </c>
      <c r="G79" s="65">
        <f t="shared" si="9"/>
        <v>5.9003324724429505E-2</v>
      </c>
      <c r="H79" s="65">
        <f t="shared" si="10"/>
        <v>0.12846047249380052</v>
      </c>
    </row>
    <row r="80" spans="1:10" s="4" customFormat="1" ht="24.75" customHeight="1">
      <c r="A80" s="63">
        <v>20</v>
      </c>
      <c r="B80" s="64" t="s">
        <v>1</v>
      </c>
      <c r="C80" s="66">
        <v>3518.06</v>
      </c>
      <c r="D80" s="66">
        <v>3787.54</v>
      </c>
      <c r="E80" s="66">
        <v>37023.956467800002</v>
      </c>
      <c r="F80" s="66">
        <v>33240.442314799999</v>
      </c>
      <c r="G80" s="65">
        <f t="shared" si="9"/>
        <v>0.13074115844243245</v>
      </c>
      <c r="H80" s="65">
        <f t="shared" si="10"/>
        <v>0.11382261755630818</v>
      </c>
    </row>
    <row r="81" spans="1:10" s="4" customFormat="1" ht="24.75" customHeight="1">
      <c r="A81" s="63">
        <v>21</v>
      </c>
      <c r="B81" s="64" t="s">
        <v>4</v>
      </c>
      <c r="C81" s="66">
        <v>1549.29</v>
      </c>
      <c r="D81" s="66">
        <v>1768.25</v>
      </c>
      <c r="E81" s="66">
        <v>17782.035499999998</v>
      </c>
      <c r="F81" s="66">
        <v>16703.031000000003</v>
      </c>
      <c r="G81" s="65">
        <f t="shared" si="9"/>
        <v>6.2792962787658613E-2</v>
      </c>
      <c r="H81" s="65">
        <f t="shared" si="10"/>
        <v>6.459932332041983E-2</v>
      </c>
      <c r="J81" s="61"/>
    </row>
    <row r="82" spans="1:10" s="4" customFormat="1" ht="24.75" customHeight="1">
      <c r="A82" s="63">
        <v>22</v>
      </c>
      <c r="B82" s="64" t="s">
        <v>3</v>
      </c>
      <c r="C82" s="66">
        <v>2687.44</v>
      </c>
      <c r="D82" s="66">
        <v>2398.3200000000002</v>
      </c>
      <c r="E82" s="66">
        <v>18027.41</v>
      </c>
      <c r="F82" s="66">
        <v>16703.010000000002</v>
      </c>
      <c r="G82" s="65">
        <f t="shared" si="9"/>
        <v>6.3659443559645632E-2</v>
      </c>
      <c r="H82" s="65">
        <f t="shared" si="10"/>
        <v>7.9291097832067253E-2</v>
      </c>
    </row>
    <row r="83" spans="1:10" s="4" customFormat="1" ht="24.75" customHeight="1">
      <c r="A83" s="63">
        <v>23</v>
      </c>
      <c r="B83" s="64" t="s">
        <v>15</v>
      </c>
      <c r="C83" s="66">
        <v>669.81</v>
      </c>
      <c r="D83" s="66">
        <v>428.41</v>
      </c>
      <c r="E83" s="66">
        <v>5105.6607822990154</v>
      </c>
      <c r="F83" s="66">
        <v>4449.9490400749892</v>
      </c>
      <c r="G83" s="65">
        <f t="shared" si="9"/>
        <v>1.802940768559989E-2</v>
      </c>
      <c r="H83" s="65">
        <f t="shared" si="10"/>
        <v>0.14735264074237048</v>
      </c>
    </row>
    <row r="84" spans="1:10" s="4" customFormat="1" ht="24.75" customHeight="1">
      <c r="A84" s="42">
        <v>24</v>
      </c>
      <c r="B84" s="43" t="s">
        <v>24</v>
      </c>
      <c r="C84" s="66">
        <v>133.82</v>
      </c>
      <c r="D84" s="66">
        <v>93.43</v>
      </c>
      <c r="E84" s="66">
        <v>990.64999999999986</v>
      </c>
      <c r="F84" s="66">
        <v>830.02</v>
      </c>
      <c r="G84" s="45">
        <f t="shared" si="9"/>
        <v>3.4982411651126219E-3</v>
      </c>
      <c r="H84" s="45">
        <f t="shared" si="10"/>
        <v>0.19352545721789824</v>
      </c>
    </row>
    <row r="85" spans="1:10" s="4" customFormat="1" ht="24.75" customHeight="1">
      <c r="A85" s="42">
        <v>25</v>
      </c>
      <c r="B85" s="43" t="s">
        <v>85</v>
      </c>
      <c r="C85" s="66">
        <v>345.05</v>
      </c>
      <c r="D85" s="66">
        <v>168.45</v>
      </c>
      <c r="E85" s="66">
        <v>1875.4681212942883</v>
      </c>
      <c r="F85" s="66">
        <v>1569.0440808735436</v>
      </c>
      <c r="G85" s="45">
        <f t="shared" si="9"/>
        <v>6.6227626162298613E-3</v>
      </c>
      <c r="H85" s="45">
        <f t="shared" si="10"/>
        <v>0.19529345552238869</v>
      </c>
    </row>
    <row r="86" spans="1:10" s="4" customFormat="1" ht="24.75" customHeight="1">
      <c r="A86" s="42"/>
      <c r="B86" s="46" t="s">
        <v>77</v>
      </c>
      <c r="C86" s="47">
        <f>SUM(C61:C85)</f>
        <v>26516.831837377671</v>
      </c>
      <c r="D86" s="47">
        <f>SUM(D61:D85)</f>
        <v>24090.012048941782</v>
      </c>
      <c r="E86" s="47">
        <f>SUM(E61:E85)</f>
        <v>236085.739995601</v>
      </c>
      <c r="F86" s="47">
        <f>SUM(F61:F85)</f>
        <v>219304.27818716416</v>
      </c>
      <c r="G86" s="48">
        <f t="shared" si="9"/>
        <v>0.83367975990378729</v>
      </c>
      <c r="H86" s="48">
        <f t="shared" ref="H86" si="11">((E86-F86)/F86)</f>
        <v>7.652136085605582E-2</v>
      </c>
    </row>
    <row r="87" spans="1:10" s="4" customFormat="1" ht="24.75" customHeight="1">
      <c r="A87" s="42">
        <v>26</v>
      </c>
      <c r="B87" s="43" t="s">
        <v>16</v>
      </c>
      <c r="C87" s="66">
        <v>613.83000000000004</v>
      </c>
      <c r="D87" s="66">
        <v>556.99</v>
      </c>
      <c r="E87" s="66">
        <v>5032.0045086751888</v>
      </c>
      <c r="F87" s="66">
        <v>3775.554701358772</v>
      </c>
      <c r="G87" s="45">
        <f t="shared" si="9"/>
        <v>1.7769308348336812E-2</v>
      </c>
      <c r="H87" s="45">
        <f>((E87-F87)/F87)</f>
        <v>0.33278548629271276</v>
      </c>
    </row>
    <row r="88" spans="1:10" s="5" customFormat="1" ht="24.75" customHeight="1">
      <c r="A88" s="42">
        <v>27</v>
      </c>
      <c r="B88" s="43" t="s">
        <v>12</v>
      </c>
      <c r="C88" s="66">
        <v>1061.6041376209978</v>
      </c>
      <c r="D88" s="66">
        <v>770.71186723643712</v>
      </c>
      <c r="E88" s="66">
        <v>7940.520241806541</v>
      </c>
      <c r="F88" s="66">
        <v>6767.3844216763691</v>
      </c>
      <c r="G88" s="45">
        <f t="shared" si="9"/>
        <v>2.8040029053952129E-2</v>
      </c>
      <c r="H88" s="45">
        <f t="shared" ref="H88:H93" si="12">((E88-F88)/F88)</f>
        <v>0.17335143787200002</v>
      </c>
    </row>
    <row r="89" spans="1:10" s="4" customFormat="1" ht="24.75" customHeight="1">
      <c r="A89" s="42">
        <v>28</v>
      </c>
      <c r="B89" s="43" t="s">
        <v>21</v>
      </c>
      <c r="C89" s="66">
        <v>246.42</v>
      </c>
      <c r="D89" s="66">
        <v>232.73</v>
      </c>
      <c r="E89" s="66">
        <v>1791.8389892668611</v>
      </c>
      <c r="F89" s="66">
        <v>1442.4117305748073</v>
      </c>
      <c r="G89" s="45">
        <f t="shared" si="9"/>
        <v>6.3274465386434437E-3</v>
      </c>
      <c r="H89" s="45">
        <f t="shared" si="12"/>
        <v>0.2422520916082716</v>
      </c>
    </row>
    <row r="90" spans="1:10" s="4" customFormat="1" ht="24.75" customHeight="1">
      <c r="A90" s="42">
        <v>29</v>
      </c>
      <c r="B90" s="43" t="s">
        <v>78</v>
      </c>
      <c r="C90" s="66">
        <v>854.19</v>
      </c>
      <c r="D90" s="66">
        <v>632.84</v>
      </c>
      <c r="E90" s="66">
        <v>6560.4371967064289</v>
      </c>
      <c r="F90" s="66">
        <v>5316.4181306550008</v>
      </c>
      <c r="G90" s="45">
        <f t="shared" si="9"/>
        <v>2.3166599164845793E-2</v>
      </c>
      <c r="H90" s="45">
        <f t="shared" si="12"/>
        <v>0.23399571581442952</v>
      </c>
    </row>
    <row r="91" spans="1:10" s="4" customFormat="1" ht="24.75" customHeight="1">
      <c r="A91" s="42"/>
      <c r="B91" s="43" t="s">
        <v>79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44">
        <v>0</v>
      </c>
    </row>
    <row r="92" spans="1:10" s="4" customFormat="1" ht="24.75" customHeight="1">
      <c r="A92" s="42">
        <v>30</v>
      </c>
      <c r="B92" s="43" t="s">
        <v>8</v>
      </c>
      <c r="C92" s="66">
        <v>1728.46</v>
      </c>
      <c r="D92" s="66">
        <v>1467.57</v>
      </c>
      <c r="E92" s="66">
        <v>14366.98077168208</v>
      </c>
      <c r="F92" s="66">
        <v>13070.7063366</v>
      </c>
      <c r="G92" s="45">
        <f t="shared" si="9"/>
        <v>5.0733521984434218E-2</v>
      </c>
      <c r="H92" s="45">
        <f t="shared" si="12"/>
        <v>9.9174015672918184E-2</v>
      </c>
    </row>
    <row r="93" spans="1:10" s="4" customFormat="1" ht="24.75" customHeight="1">
      <c r="A93" s="42">
        <v>31</v>
      </c>
      <c r="B93" s="43" t="s">
        <v>88</v>
      </c>
      <c r="C93" s="66">
        <v>0.99</v>
      </c>
      <c r="D93" s="66">
        <v>0.5</v>
      </c>
      <c r="E93" s="66">
        <v>24.973176507450763</v>
      </c>
      <c r="F93" s="66">
        <v>1.1501819</v>
      </c>
      <c r="G93" s="45">
        <f t="shared" si="9"/>
        <v>8.8186740101940873E-5</v>
      </c>
      <c r="H93" s="45">
        <f t="shared" si="12"/>
        <v>20.712371327918447</v>
      </c>
    </row>
    <row r="94" spans="1:10" s="4" customFormat="1" ht="24.75" customHeight="1">
      <c r="A94" s="42">
        <v>32</v>
      </c>
      <c r="B94" s="43" t="s">
        <v>90</v>
      </c>
      <c r="C94" s="66">
        <v>22.14</v>
      </c>
      <c r="D94" s="66">
        <v>2.91</v>
      </c>
      <c r="E94" s="66">
        <v>97.975264097162139</v>
      </c>
      <c r="F94" s="66">
        <v>5.2900185698644062</v>
      </c>
      <c r="G94" s="45">
        <f t="shared" si="9"/>
        <v>3.459759774163159E-4</v>
      </c>
      <c r="H94" s="44">
        <v>0</v>
      </c>
    </row>
    <row r="95" spans="1:10" s="4" customFormat="1" ht="24.75" customHeight="1">
      <c r="A95" s="42"/>
      <c r="B95" s="46" t="s">
        <v>80</v>
      </c>
      <c r="C95" s="49">
        <f>SUM(C87:C94)</f>
        <v>4527.6341376209975</v>
      </c>
      <c r="D95" s="49">
        <f>SUM(D87:D94)</f>
        <v>3664.2518672364367</v>
      </c>
      <c r="E95" s="49">
        <f>SUM(E87:E94)</f>
        <v>35814.730148741721</v>
      </c>
      <c r="F95" s="49">
        <f>SUM(F87:F94)</f>
        <v>30378.915521334813</v>
      </c>
      <c r="G95" s="48">
        <f t="shared" si="9"/>
        <v>0.12647106780773068</v>
      </c>
      <c r="H95" s="48">
        <f t="shared" ref="H95:H99" si="13">((E95-F95)/F95)</f>
        <v>0.178933794512493</v>
      </c>
    </row>
    <row r="96" spans="1:10" s="4" customFormat="1" ht="24.75" customHeight="1">
      <c r="A96" s="50">
        <v>33</v>
      </c>
      <c r="B96" s="43" t="s">
        <v>25</v>
      </c>
      <c r="C96" s="66">
        <v>2164.2800000000002</v>
      </c>
      <c r="D96" s="66">
        <v>1105.1400000000001</v>
      </c>
      <c r="E96" s="66">
        <v>10141.344411945638</v>
      </c>
      <c r="F96" s="66">
        <v>8337.629471029999</v>
      </c>
      <c r="G96" s="45">
        <f t="shared" si="9"/>
        <v>3.5811707960887389E-2</v>
      </c>
      <c r="H96" s="45">
        <f t="shared" si="13"/>
        <v>0.21633426469512024</v>
      </c>
    </row>
    <row r="97" spans="1:8" s="4" customFormat="1" ht="24.75" customHeight="1">
      <c r="A97" s="50">
        <v>34</v>
      </c>
      <c r="B97" s="43" t="s">
        <v>22</v>
      </c>
      <c r="C97" s="66">
        <v>119.3</v>
      </c>
      <c r="D97" s="66">
        <v>119.96</v>
      </c>
      <c r="E97" s="66">
        <v>1143.3499999999999</v>
      </c>
      <c r="F97" s="66">
        <v>1076.4499999999998</v>
      </c>
      <c r="G97" s="45">
        <f t="shared" si="9"/>
        <v>4.0374643275945254E-3</v>
      </c>
      <c r="H97" s="45">
        <f t="shared" si="13"/>
        <v>6.2148729620511961E-2</v>
      </c>
    </row>
    <row r="98" spans="1:8" s="4" customFormat="1" ht="26.25">
      <c r="A98" s="42"/>
      <c r="B98" s="46" t="s">
        <v>81</v>
      </c>
      <c r="C98" s="51">
        <f>SUM(C96:C97)</f>
        <v>2283.5800000000004</v>
      </c>
      <c r="D98" s="51">
        <f t="shared" ref="D98:F98" si="14">SUM(D96:D97)</f>
        <v>1225.1000000000001</v>
      </c>
      <c r="E98" s="51">
        <f t="shared" si="14"/>
        <v>11284.694411945638</v>
      </c>
      <c r="F98" s="51">
        <f t="shared" si="14"/>
        <v>9414.0794710299997</v>
      </c>
      <c r="G98" s="48">
        <f t="shared" si="9"/>
        <v>3.9849172288481914E-2</v>
      </c>
      <c r="H98" s="48">
        <f t="shared" si="13"/>
        <v>0.19870396746406196</v>
      </c>
    </row>
    <row r="99" spans="1:8" s="4" customFormat="1" ht="26.25">
      <c r="A99" s="42"/>
      <c r="B99" s="52" t="s">
        <v>82</v>
      </c>
      <c r="C99" s="67">
        <f>(C86+C95+C98)</f>
        <v>33328.045974998669</v>
      </c>
      <c r="D99" s="67">
        <f>(D86+D95+D98)</f>
        <v>28979.363916178219</v>
      </c>
      <c r="E99" s="67">
        <f>(E86+E95+E98)</f>
        <v>283185.16455628839</v>
      </c>
      <c r="F99" s="67">
        <f>(F86+F95+F98)</f>
        <v>259097.27317952897</v>
      </c>
      <c r="G99" s="48">
        <f>E99/$E$99</f>
        <v>1</v>
      </c>
      <c r="H99" s="48">
        <f t="shared" si="13"/>
        <v>9.2968525222837356E-2</v>
      </c>
    </row>
    <row r="100" spans="1:8" s="6" customFormat="1" ht="15">
      <c r="A100" s="80" t="s">
        <v>83</v>
      </c>
      <c r="B100" s="80"/>
      <c r="C100" s="80"/>
      <c r="D100" s="80"/>
      <c r="E100" s="80"/>
      <c r="F100" s="80"/>
      <c r="G100" s="80"/>
      <c r="H100" s="80"/>
    </row>
    <row r="101" spans="1:8" s="6" customFormat="1" ht="15" customHeight="1">
      <c r="A101" s="80" t="s">
        <v>84</v>
      </c>
      <c r="B101" s="80"/>
      <c r="C101" s="80"/>
      <c r="D101" s="37"/>
      <c r="E101" s="37"/>
      <c r="F101" s="37"/>
      <c r="G101" s="37"/>
      <c r="H101" s="37"/>
    </row>
    <row r="102" spans="1:8" ht="15.75">
      <c r="A102" s="79"/>
      <c r="B102" s="79"/>
      <c r="C102" s="79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2025-11-10T06:33:19Z</cp:lastPrinted>
  <dcterms:created xsi:type="dcterms:W3CDTF">2024-07-04T10:52:00Z</dcterms:created>
  <dcterms:modified xsi:type="dcterms:W3CDTF">2026-02-11T11:19:00Z</dcterms:modified>
</cp:coreProperties>
</file>